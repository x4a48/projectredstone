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d752cb73b61fc091/Desktop/linuxlabs/projectredstone/docs/project-management/02_Business_Requirements/"/>
    </mc:Choice>
  </mc:AlternateContent>
  <xr:revisionPtr revIDLastSave="785" documentId="8_{170D4D7C-E242-4887-90C6-7A678B36976C}" xr6:coauthVersionLast="47" xr6:coauthVersionMax="47" xr10:uidLastSave="{19A492DE-21E7-4B61-BCAA-22328CBB8AEE}"/>
  <bookViews>
    <workbookView xWindow="-120" yWindow="-120" windowWidth="29040" windowHeight="15720" activeTab="1" xr2:uid="{00000000-000D-0000-FFFF-FFFF00000000}"/>
  </bookViews>
  <sheets>
    <sheet name="Summary" sheetId="1" r:id="rId1"/>
    <sheet name="RTM" sheetId="2" r:id="rId2"/>
    <sheet name="Legend &amp; Reference" sheetId="3" r:id="rId3"/>
    <sheet name="Architecture Domains" sheetId="4" r:id="rId4"/>
    <sheet name="Capabiliti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H13" i="1"/>
  <c r="E13" i="1"/>
  <c r="H12" i="1"/>
  <c r="E12" i="1"/>
  <c r="B12" i="1"/>
  <c r="H11" i="1"/>
  <c r="E11" i="1"/>
  <c r="B11" i="1"/>
  <c r="B7" i="1"/>
  <c r="B6" i="1"/>
  <c r="B5" i="1"/>
</calcChain>
</file>

<file path=xl/sharedStrings.xml><?xml version="1.0" encoding="utf-8"?>
<sst xmlns="http://schemas.openxmlformats.org/spreadsheetml/2006/main" count="1511" uniqueCount="667">
  <si>
    <t>Northwind Outdoor Ltd. | RTM Summary</t>
  </si>
  <si>
    <t>Formula-driven baseline overview from the RTM register. Counts update as the register is maintained.</t>
  </si>
  <si>
    <t>Baseline overview</t>
  </si>
  <si>
    <t>Value</t>
  </si>
  <si>
    <t>Control / interpretation</t>
  </si>
  <si>
    <t>BRD source</t>
  </si>
  <si>
    <t>Total requirements</t>
  </si>
  <si>
    <t>Functional and non-functional requirements in baseline</t>
  </si>
  <si>
    <t>BRD v1.0 §§8–9</t>
  </si>
  <si>
    <t>Functional requirements</t>
  </si>
  <si>
    <t>BR-001 to BR-038</t>
  </si>
  <si>
    <t>BRD v1.0 §8</t>
  </si>
  <si>
    <t>Non-functional requirements</t>
  </si>
  <si>
    <t>NFR-001 to NFR-018</t>
  </si>
  <si>
    <t>BRD v1.0 §9</t>
  </si>
  <si>
    <t>Baseline lifecycle status</t>
  </si>
  <si>
    <t>Baseline Pending Approval</t>
  </si>
  <si>
    <t>Current BRD v1.0 baseline state</t>
  </si>
  <si>
    <t>BRD v1.0 Baseline</t>
  </si>
  <si>
    <t>Counts by Type</t>
  </si>
  <si>
    <t>Count</t>
  </si>
  <si>
    <t>Counts by Priority</t>
  </si>
  <si>
    <t>Counts by Business Driver</t>
  </si>
  <si>
    <t>Functional</t>
  </si>
  <si>
    <t>Must</t>
  </si>
  <si>
    <t>BD-001</t>
  </si>
  <si>
    <t>Non-Functional</t>
  </si>
  <si>
    <t>Should</t>
  </si>
  <si>
    <t>BD-002</t>
  </si>
  <si>
    <t>Could</t>
  </si>
  <si>
    <t>BD-003</t>
  </si>
  <si>
    <t>Counts by Lifecycle Status</t>
  </si>
  <si>
    <t>Northwind Outdoor Ltd. | Requirements Traceability Matrix</t>
  </si>
  <si>
    <t>Source baseline: BRD v1.0 (10-Aug-2026). Later lifecycle fields intentionally remain TBD until formally defined.</t>
  </si>
  <si>
    <t>Requirement ID</t>
  </si>
  <si>
    <t>Type</t>
  </si>
  <si>
    <t>Requirement / Title</t>
  </si>
  <si>
    <t>Priority</t>
  </si>
  <si>
    <t>Business Owner</t>
  </si>
  <si>
    <t>DF</t>
  </si>
  <si>
    <t>BD</t>
  </si>
  <si>
    <t>CAP</t>
  </si>
  <si>
    <t>BRD</t>
  </si>
  <si>
    <t>SOW</t>
  </si>
  <si>
    <t>Sprint</t>
  </si>
  <si>
    <t>HLD</t>
  </si>
  <si>
    <t>LLD</t>
  </si>
  <si>
    <t>ADR</t>
  </si>
  <si>
    <t>Test / UAT</t>
  </si>
  <si>
    <t>Acceptance Criteria</t>
  </si>
  <si>
    <t>Status</t>
  </si>
  <si>
    <t>Owner</t>
  </si>
  <si>
    <t>Notes</t>
  </si>
  <si>
    <t>BR-001</t>
  </si>
  <si>
    <t>Business Service Continuity — The proposed solution shall maintain existing business-critical services throughout implementation and provide capabilities that improve security, resilience, operational efficiency and scalability.</t>
  </si>
  <si>
    <t>Operations Director</t>
  </si>
  <si>
    <t>TBD</t>
  </si>
  <si>
    <t>Not Yet Defined</t>
  </si>
  <si>
    <t>Existing business-critical services remain available following implementation.</t>
  </si>
  <si>
    <t>TBD – delivery owner not assigned</t>
  </si>
  <si>
    <t>BRD note: Foundation requirement. | DF: No formal Discovery Finding IDs are defined in the BRD. CAP: No formal capability catalogue/IDs are defined in the BRD.</t>
  </si>
  <si>
    <t>BR-002</t>
  </si>
  <si>
    <t>Centralised User Identity Management — The organisation requires centrally managed capabilities for creating, modifying and removing user accounts and associated access.</t>
  </si>
  <si>
    <t>IT Manager</t>
  </si>
  <si>
    <t>User accounts can be managed through a controlled central process.</t>
  </si>
  <si>
    <t>BRD note: Foundation capability. | DF: No formal Discovery Finding IDs are defined in the BRD. CAP: No formal capability catalogue/IDs are defined in the BRD.</t>
  </si>
  <si>
    <t>BR-003</t>
  </si>
  <si>
    <t>User Lifecycle Management — The organisation shall have a documented and controlled process for managing employee joiners, movers and leavers, with clearly defined responsibilities between HR and IT.</t>
  </si>
  <si>
    <t>HR Manager</t>
  </si>
  <si>
    <t>Joiner, mover and leaver activities follow an agreed and documented process.</t>
  </si>
  <si>
    <t>BRD note: Builds on existing provisioning requirement and Workshop 2 decision. | DF: No formal Discovery Finding IDs are defined in the BRD. CAP: No formal capability catalogue/IDs are defined in the BRD.</t>
  </si>
  <si>
    <t>BR-004</t>
  </si>
  <si>
    <t>User Provisioning Automation — The solution should reduce manual administration by automating appropriate user onboarding, role changes and offboarding activities where practical.</t>
  </si>
  <si>
    <t>Agreed user lifecycle activities can be completed through defined automated workflows where appropriate.</t>
  </si>
  <si>
    <t>BRD note: Automation approach to be determined during design. | DF: No formal Discovery Finding IDs are defined in the BRD. CAP: No formal capability catalogue/IDs are defined in the BRD.</t>
  </si>
  <si>
    <t>BR-005</t>
  </si>
  <si>
    <t>Role-Based Access Control — User access shall be assigned according to business role and departmental responsibilities.</t>
  </si>
  <si>
    <t>Users can access only resources authorised for their role.</t>
  </si>
  <si>
    <t>BRD note: Supports least privilege. | DF: No formal Discovery Finding IDs are defined in the BRD. CAP: No formal capability catalogue/IDs are defined in the BRD.</t>
  </si>
  <si>
    <t>BR-006</t>
  </si>
  <si>
    <t>Secure File Services — The organisation requires secure, centrally managed file storage for departmental and shared business information.</t>
  </si>
  <si>
    <t>Operations Manager</t>
  </si>
  <si>
    <t>Departments can securely access authorised shared files.</t>
  </si>
  <si>
    <t>BRD note: Business-critical capability. | DF: No formal Discovery Finding IDs are defined in the BRD. CAP: No formal capability catalogue/IDs are defined in the BRD.</t>
  </si>
  <si>
    <t>BR-007</t>
  </si>
  <si>
    <t>Structured Data Organisation — The solution shall support consistent organisation of business information, including standard folder structures, naming conventions and governance processes.</t>
  </si>
  <si>
    <t>Business data follows agreed organisational standards.</t>
  </si>
  <si>
    <t>BRD note: Detailed implementation defined during design. | DF: No formal Discovery Finding IDs are defined in the BRD. CAP: No formal capability catalogue/IDs are defined in the BRD.</t>
  </si>
  <si>
    <t>BR-008</t>
  </si>
  <si>
    <t>Departmental Data Segregation — Departmental information shall be logically separated to prevent unauthorised access.</t>
  </si>
  <si>
    <t>Finance Manager</t>
  </si>
  <si>
    <t>Users cannot access data outside their authorised departments.</t>
  </si>
  <si>
    <t>BRD note: Supports confidentiality. | DF: No formal Discovery Finding IDs are defined in the BRD. CAP: No formal capability catalogue/IDs are defined in the BRD.</t>
  </si>
  <si>
    <t>BR-009</t>
  </si>
  <si>
    <t>Secure Data Access — Access to business data shall be authenticated, authorised and auditable.</t>
  </si>
  <si>
    <t>Only authorised users can access sensitive business data and access can be appropriately audited.</t>
  </si>
  <si>
    <t>BRD note: Security requirement. | DF: No formal Discovery Finding IDs are defined in the BRD. CAP: No formal capability catalogue/IDs are defined in the BRD.</t>
  </si>
  <si>
    <t>BR-010</t>
  </si>
  <si>
    <t>Centralised Logging — The solution shall provide centralised collection and retention of relevant system, operational and security logs.</t>
  </si>
  <si>
    <t>Required logs are centrally available for investigation and auditing and remain available following system events or restarts.</t>
  </si>
  <si>
    <t>BRD note: Persistent logging requirement strengthened following customer feedback. | DF: No formal Discovery Finding IDs are defined in the BRD. CAP: No formal capability catalogue/IDs are defined in the BRD.</t>
  </si>
  <si>
    <t>BR-011</t>
  </si>
  <si>
    <t>Operational Monitoring and Alerting — The organisation requires proactive monitoring of infrastructure and service health, errors, backup status, security events and other operational risks.</t>
  </si>
  <si>
    <t>Defined critical operational events generate appropriate alerts or notifications.</t>
  </si>
  <si>
    <t>BRD note: Focused on routine operational monitoring. | DF: No formal Discovery Finding IDs are defined in the BRD. CAP: No formal capability catalogue/IDs are defined in the BRD.</t>
  </si>
  <si>
    <t>BR-012</t>
  </si>
  <si>
    <t>Threat Detection — The solution shall provide mechanisms to identify potential security threats, suspicious activity and indicators of compromise.</t>
  </si>
  <si>
    <t>Relevant security events can be detected and investigated.</t>
  </si>
  <si>
    <t>BRD note: Implementation technology to be determined. | DF: No formal Discovery Finding IDs are defined in the BRD. CAP: No formal capability catalogue/IDs are defined in the BRD.</t>
  </si>
  <si>
    <t>BR-013</t>
  </si>
  <si>
    <t>Business Continuity Backups — Business-critical systems and data shall be backed up automatically according to agreed business requirements.</t>
  </si>
  <si>
    <t>Agreed backups complete successfully without requiring routine manual intervention.</t>
  </si>
  <si>
    <t>BRD note: Business continuity. | DF: No formal Discovery Finding IDs are defined in the BRD. CAP: No formal capability catalogue/IDs are defined in the BRD.</t>
  </si>
  <si>
    <t>BR-014</t>
  </si>
  <si>
    <t>Backup Validation and Recovery Testing — The organisation requires routine validation of backup integrity through scheduled restoration and recovery testing.</t>
  </si>
  <si>
    <t>Successful restore and recovery tests are completed and documented at agreed intervals.</t>
  </si>
  <si>
    <t>BRD note: Supports disaster recovery objectives. | DF: No formal Discovery Finding IDs are defined in the BRD. CAP: No formal capability catalogue/IDs are defined in the BRD.</t>
  </si>
  <si>
    <t>BR-015</t>
  </si>
  <si>
    <t>Service Recovery — The organisation requires documented and repeatable capabilities for recovering business-critical systems and services following service, configuration or system failure.</t>
  </si>
  <si>
    <t>Agreed recovery procedures successfully restore affected services within defined recovery objectives.</t>
  </si>
  <si>
    <t>BRD note: Detailed RTO/RPO to be confirmed during design. | DF: No formal Discovery Finding IDs are defined in the BRD. CAP: No formal capability catalogue/IDs are defined in the BRD.</t>
  </si>
  <si>
    <t>BR-016</t>
  </si>
  <si>
    <t>Agreed critical services meet defined resilience requirements and expected failure scenarios are addressed.</t>
  </si>
  <si>
    <t>BRD note: High Availability remains a design decision. | DF: No formal Discovery Finding IDs are defined in the BRD. CAP: No formal capability catalogue/IDs are defined in the BRD.</t>
  </si>
  <si>
    <t>BR-017</t>
  </si>
  <si>
    <t>Remote Administration — The IT team shall be able to securely administer infrastructure remotely.</t>
  </si>
  <si>
    <t>Authorised administrators can securely perform required administrative activities remotely.</t>
  </si>
  <si>
    <t>BRD note: Supports operational flexibility. | DF: No formal Discovery Finding IDs are defined in the BRD. CAP: No formal capability catalogue/IDs are defined in the BRD.</t>
  </si>
  <si>
    <t>BR-018</t>
  </si>
  <si>
    <t>Secure Remote Access — Authorised users shall have secure remote access to business services where required.</t>
  </si>
  <si>
    <t>Approved users can securely access authorised business resources remotely.</t>
  </si>
  <si>
    <t>BRD note: VPN and related technologies evaluated during design. | DF: No formal Discovery Finding IDs are defined in the BRD. CAP: No formal capability catalogue/IDs are defined in the BRD.</t>
  </si>
  <si>
    <t>BR-019</t>
  </si>
  <si>
    <t>Network Security — The solution shall improve protection of the corporate network through appropriate security controls governing access to internal and external resources.</t>
  </si>
  <si>
    <t>Network access complies with approved security policies.</t>
  </si>
  <si>
    <t>BRD note: Technology to be determined. | DF: No formal Discovery Finding IDs are defined in the BRD. CAP: No formal capability catalogue/IDs are defined in the BRD.</t>
  </si>
  <si>
    <t>BR-020</t>
  </si>
  <si>
    <t>Network Segmentation — The infrastructure shall support logical separation of business systems and services to improve security and operational resilience.</t>
  </si>
  <si>
    <t>Business services are appropriately segregated according to agreed operational requirements.</t>
  </si>
  <si>
    <t>BRD note: Detailed design required. | DF: No formal Discovery Finding IDs are defined in the BRD. CAP: No formal capability catalogue/IDs are defined in the BRD.</t>
  </si>
  <si>
    <t>BR-021</t>
  </si>
  <si>
    <t>Integration with Existing Business Services — The proposed solution shall integrate with existing business systems and cloud services where required to support business operations and migration activities.</t>
  </si>
  <si>
    <t>Existing business applications and required services continue to operate successfully following implementation.</t>
  </si>
  <si>
    <t>BRD note: Avoids committing to specific technologies. | DF: No formal Discovery Finding IDs are defined in the BRD. CAP: No formal capability catalogue/IDs are defined in the BRD.</t>
  </si>
  <si>
    <t>BR-022</t>
  </si>
  <si>
    <t>Business Application Hosting — The infrastructure shall provide a reliable platform for hosting business-critical applications and supporting services.</t>
  </si>
  <si>
    <t>Business applications operate reliably within agreed service levels.</t>
  </si>
  <si>
    <t>BRD note: Future expansion supported. | DF: No formal Discovery Finding IDs are defined in the BRD. CAP: No formal capability catalogue/IDs are defined in the BRD.</t>
  </si>
  <si>
    <t>BR-023</t>
  </si>
  <si>
    <t>Infrastructure Scalability — The infrastructure shall support future organisational growth without significant redesign.</t>
  </si>
  <si>
    <t>New users, departments and services can be introduced efficiently.</t>
  </si>
  <si>
    <t>BRD note: Five-year growth objective. | DF: No formal Discovery Finding IDs are defined in the BRD. CAP: No formal capability catalogue/IDs are defined in the BRD.</t>
  </si>
  <si>
    <t>BR-024</t>
  </si>
  <si>
    <t>Infrastructure Standardisation — The organisation requires standardised infrastructure, configuration and operational practices to improve consistency and supportability.</t>
  </si>
  <si>
    <t>Agreed infrastructure and operational standards are documented and implemented.</t>
  </si>
  <si>
    <t>BRD note: Supports operational maturity. | DF: No formal Discovery Finding IDs are defined in the BRD. CAP: No formal capability catalogue/IDs are defined in the BRD.</t>
  </si>
  <si>
    <t>BR-025</t>
  </si>
  <si>
    <t>Operational Documentation — The project shall provide and maintain appropriate technical and operational documentation, including SOPs, technical runbooks, recovery procedures and relevant user documentation.</t>
  </si>
  <si>
    <t>Required documentation is complete, accurate and available at operational handover.</t>
  </si>
  <si>
    <t>BRD note: Distinguishes IT runbooks/SOPs from user documentation. | DF: No formal Discovery Finding IDs are defined in the BRD. CAP: No formal capability catalogue/IDs are defined in the BRD.</t>
  </si>
  <si>
    <t>BR-026</t>
  </si>
  <si>
    <t>Reporting and Visibility — The solution shall provide appropriate operational, security, capacity and performance reporting to support IT operations and business decision making.</t>
  </si>
  <si>
    <t>Required reports are available to authorised stakeholders at agreed intervals.</t>
  </si>
  <si>
    <t>BRD note: Reporting requirements to be confirmed during design. | DF: No formal Discovery Finding IDs are defined in the BRD. CAP: No formal capability catalogue/IDs are defined in the BRD.</t>
  </si>
  <si>
    <t>BR-027</t>
  </si>
  <si>
    <t>Administrative Approval Workflows — The solution shall support business approval processes where required for administrative or operational activities.</t>
  </si>
  <si>
    <t>Agreed approval workflows are implemented for identified business processes.</t>
  </si>
  <si>
    <t>BRD note: Requires further requirements gathering. | DF: No formal Discovery Finding IDs are defined in the BRD. CAP: No formal capability catalogue/IDs are defined in the BRD.</t>
  </si>
  <si>
    <t>BR-028</t>
  </si>
  <si>
    <t>Print Services — The proposed solution shall continue to support business printing services where required.</t>
  </si>
  <si>
    <t>Business printing remains available following implementation.</t>
  </si>
  <si>
    <t>BRD note: Existing functionality retained. | DF: No formal Discovery Finding IDs are defined in the BRD. CAP: No formal capability catalogue/IDs are defined in the BRD.</t>
  </si>
  <si>
    <t>BR-029</t>
  </si>
  <si>
    <t>IT Asset Management — Northwind shall maintain a formal and accurate process for recording, managing and reviewing IT assets, including ownership, lifecycle status and relevant operational information.</t>
  </si>
  <si>
    <t>An agreed asset inventory and ownership model is maintained and available to authorised stakeholders.</t>
  </si>
  <si>
    <t>BRD note: Introduced following Workshop 2. Initial asset baseline remains an outstanding dependency. | DF: No formal Discovery Finding IDs are defined in the BRD. CAP: No formal capability catalogue/IDs are defined in the BRD.</t>
  </si>
  <si>
    <t>BR-030</t>
  </si>
  <si>
    <t>Software and System Update Management — The organisation shall have a controlled process for evaluating, testing, approving and deploying software and system updates.</t>
  </si>
  <si>
    <t>Agreed updates are evaluated and, where appropriate, validated in a controlled environment before production deployment.</t>
  </si>
  <si>
    <t>BRD note: Builds on Workshop 2 CR-006 and customer follow-up. | DF: No formal Discovery Finding IDs are defined in the BRD. CAP: No formal capability catalogue/IDs are defined in the BRD.</t>
  </si>
  <si>
    <t>BR-031</t>
  </si>
  <si>
    <t>Software and Package Lifecycle Management — The solution shall support controlled installation, updating and removal of supported system software and packages.</t>
  </si>
  <si>
    <t>Supported software can be installed, updated and removed through a documented and controlled process.</t>
  </si>
  <si>
    <t>BRD note: Business capability; implementation technology to be determined. | DF: No formal Discovery Finding IDs are defined in the BRD. CAP: No formal capability catalogue/IDs are defined in the BRD.</t>
  </si>
  <si>
    <t>BR-032</t>
  </si>
  <si>
    <t>Administrative Automation — The organisation shall identify and implement appropriate opportunities to automate repetitive infrastructure administration activities where this provides operational benefit.</t>
  </si>
  <si>
    <t>Agreed repetitive administrative activities are standardised or automated where practical.</t>
  </si>
  <si>
    <t>BRD note: Customer-requested capability; avoid prescribing automation technology. | DF: No formal Discovery Finding IDs are defined in the BRD. CAP: No formal capability catalogue/IDs are defined in the BRD.</t>
  </si>
  <si>
    <t>BR-033</t>
  </si>
  <si>
    <t>Scheduled Administrative Activities — The solution shall support the controlled scheduling of routine administrative, maintenance and operational activities where appropriate.</t>
  </si>
  <si>
    <t>Agreed recurring activities can be executed according to defined schedules and documented procedures.</t>
  </si>
  <si>
    <t>BRD note: Supports operational consistency. | DF: No formal Discovery Finding IDs are defined in the BRD. CAP: No formal capability catalogue/IDs are defined in the BRD.</t>
  </si>
  <si>
    <t>BR-034</t>
  </si>
  <si>
    <t>Capacity and Performance Management — The organisation requires periodic assessment of infrastructure capacity, resource utilisation, performance and growth trends to support operational planning and future requirements.</t>
  </si>
  <si>
    <t>Capacity and performance information is collected and reviewed at agreed intervals, with identified issues recorded and addressed appropriately.</t>
  </si>
  <si>
    <t>BRD note: Separates management reporting from day-to-day monitoring. | DF: No formal Discovery Finding IDs are defined in the BRD. CAP: No formal capability catalogue/IDs are defined in the BRD.</t>
  </si>
  <si>
    <t>BR-035</t>
  </si>
  <si>
    <t>System Time Consistency — The infrastructure shall maintain consistent and reliable system time across supported systems and services to support authentication, logging, auditing and troubleshooting.</t>
  </si>
  <si>
    <t>Supported systems maintain time within agreed tolerance and deviations can be identified and addressed.</t>
  </si>
  <si>
    <t>BRD note: Customer-requested capability; technical implementation deferred to design. | DF: No formal Discovery Finding IDs are defined in the BRD. CAP: No formal capability catalogue/IDs are defined in the BRD.</t>
  </si>
  <si>
    <t>BR-036</t>
  </si>
  <si>
    <t>Host Security Enforcement — Supported systems shall provide appropriate host-level security controls to restrict unauthorised access to system resources, services and data.</t>
  </si>
  <si>
    <t>Unauthorised access to protected system resources is prevented and agreed security controls are demonstrably enforced.</t>
  </si>
  <si>
    <t>BRD note: Business requirement deliberately technology-neutral. | DF: No formal Discovery Finding IDs are defined in the BRD. CAP: No formal capability catalogue/IDs are defined in the BRD.</t>
  </si>
  <si>
    <t>BR-037</t>
  </si>
  <si>
    <t>Network Resource Access — The solution shall provide reliable and appropriately controlled access to authorised network-based resources with minimal unnecessary manual administration.</t>
  </si>
  <si>
    <t>Authorised users and services can access required network resources according to defined access controls.</t>
  </si>
  <si>
    <t>BRD note: Detailed access and mounting mechanisms to be determined during design. | DF: No formal Discovery Finding IDs are defined in the BRD. CAP: No formal capability catalogue/IDs are defined in the BRD.</t>
  </si>
  <si>
    <t>BR-038</t>
  </si>
  <si>
    <t>Incident Investigation and Troubleshooting — The IT team shall have documented processes and appropriate administrative capabilities to investigate, troubleshoot and resolve infrastructure and service issues.</t>
  </si>
  <si>
    <t>Defined operational issues can be investigated using appropriate information, procedures and administrative capabilities, with recovery actions documented where required.</t>
  </si>
  <si>
    <t>BRD note: Supports operational recovery and knowledge transfer. | DF: No formal Discovery Finding IDs are defined in the BRD. CAP: No formal capability catalogue/IDs are defined in the BRD.</t>
  </si>
  <si>
    <t>NFR-001</t>
  </si>
  <si>
    <t>Availability — Business-critical services shall provide an appropriate level of availability aligned with agreed business requirements and service criticality.</t>
  </si>
  <si>
    <t>Agreed critical services meet defined availability targets.</t>
  </si>
  <si>
    <t>BRD note: HA remains a design decision. | DF: No formal Discovery Finding IDs are defined in the BRD. CAP: No formal capability catalogue/IDs are defined in the BRD.</t>
  </si>
  <si>
    <t>NFR-002</t>
  </si>
  <si>
    <t>Reliability — The solution shall operate reliably under normal expected operating conditions and minimise avoidable service interruptions.</t>
  </si>
  <si>
    <t>Services operate consistently during agreed operational testing.</t>
  </si>
  <si>
    <t>BRD note: Supports resilience. | DF: No formal Discovery Finding IDs are defined in the BRD. CAP: No formal capability catalogue/IDs are defined in the BRD.</t>
  </si>
  <si>
    <t>NFR-003</t>
  </si>
  <si>
    <t>Performance — Infrastructure and services shall provide sufficient performance to support current business operations and anticipated growth.</t>
  </si>
  <si>
    <t>Agreed performance criteria are met under representative workloads.</t>
  </si>
  <si>
    <t>BRD note: Links to capacity management. | DF: No formal Discovery Finding IDs are defined in the BRD. CAP: No formal capability catalogue/IDs are defined in the BRD.</t>
  </si>
  <si>
    <t>NFR-004</t>
  </si>
  <si>
    <t>Scalability — The solution shall support anticipated growth in users, data, services and infrastructure without requiring disproportionate redesign or administrative effort.</t>
  </si>
  <si>
    <t>Additional users, services and capacity can be introduced using defined processes.</t>
  </si>
  <si>
    <t>BRD note: Five-year growth considerations. | DF: No formal Discovery Finding IDs are defined in the BRD. CAP: No formal capability catalogue/IDs are defined in the BRD.</t>
  </si>
  <si>
    <t>NFR-005</t>
  </si>
  <si>
    <t>Security — The solution shall implement appropriate security controls to protect systems, services and business information from unauthorised access, misuse and compromise.</t>
  </si>
  <si>
    <t>Agreed security controls are implemented and validated.</t>
  </si>
  <si>
    <t>BRD note: Technology-neutral. | DF: No formal Discovery Finding IDs are defined in the BRD. CAP: No formal capability catalogue/IDs are defined in the BRD.</t>
  </si>
  <si>
    <t>NFR-006</t>
  </si>
  <si>
    <t>Auditability — Relevant administrative, operational and security activities shall be sufficiently recorded to support investigation, troubleshooting and accountability.</t>
  </si>
  <si>
    <t>Required events can be reviewed using retained records and logs.</t>
  </si>
  <si>
    <t>BRD note: Complements BR-010. | DF: No formal Discovery Finding IDs are defined in the BRD. CAP: No formal capability catalogue/IDs are defined in the BRD.</t>
  </si>
  <si>
    <t>NFR-007</t>
  </si>
  <si>
    <t>Data Protection — Business information shall be protected against unauthorised access, accidental loss, corruption and inappropriate modification.</t>
  </si>
  <si>
    <t>Appropriate access, protection and recovery controls are demonstrated.</t>
  </si>
  <si>
    <t>BRD note: Complements BR-008/009. | DF: No formal Discovery Finding IDs are defined in the BRD. CAP: No formal capability catalogue/IDs are defined in the BRD.</t>
  </si>
  <si>
    <t>NFR-008</t>
  </si>
  <si>
    <t>Maintainability — Infrastructure and services shall be designed and implemented so that routine administration, maintenance, updates and troubleshooting can be performed efficiently and consistently.</t>
  </si>
  <si>
    <t>Routine maintenance activities can be performed using documented procedures without unnecessary complexity.</t>
  </si>
  <si>
    <t>BRD note: Strengthened following Workshop 2. | DF: No formal Discovery Finding IDs are defined in the BRD. CAP: No formal capability catalogue/IDs are defined in the BRD.</t>
  </si>
  <si>
    <t>NFR-009</t>
  </si>
  <si>
    <t>Recoverability — Business-critical services shall be capable of recovery within agreed service-specific recovery objectives following an incident or failure.</t>
  </si>
  <si>
    <t>Recovery testing demonstrates that agreed RTO/RPO objectives can be achieved.</t>
  </si>
  <si>
    <t>BRD note: Northwind's current expectation is 4 hours; service-specific objectives to be confirmed during design. | DF: No formal Discovery Finding IDs are defined in the BRD. CAP: No formal capability catalogue/IDs are defined in the BRD.</t>
  </si>
  <si>
    <t>NFR-010</t>
  </si>
  <si>
    <t>Supportability — The solution shall be supported by appropriate documentation, operational procedures, troubleshooting information and knowledge transfer.</t>
  </si>
  <si>
    <t>Required SOPs, runbooks, recovery procedures and knowledge transfer are completed before operational handover.</t>
  </si>
  <si>
    <t>BRD note: Stronger link to Workshop 2 CR-004. | DF: No formal Discovery Finding IDs are defined in the BRD. CAP: No formal capability catalogue/IDs are defined in the BRD.</t>
  </si>
  <si>
    <t>NFR-011</t>
  </si>
  <si>
    <t>Administrative Simplicity — The solution should minimise unnecessary manual administration and support standardised and repeatable operational processes.</t>
  </si>
  <si>
    <t>Identified repetitive activities are standardised or automated where practical.</t>
  </si>
  <si>
    <t>BRD note: Supports BR-032/033. | DF: No formal Discovery Finding IDs are defined in the BRD. CAP: No formal capability catalogue/IDs are defined in the BRD.</t>
  </si>
  <si>
    <t>NFR-012</t>
  </si>
  <si>
    <t>Compatibility — The solution shall remain compatible with required existing business applications, services, user workflows and supporting infrastructure.</t>
  </si>
  <si>
    <t>Existing agreed business services continue to operate following implementation.</t>
  </si>
  <si>
    <t>BRD note: Migration consideration. | DF: No formal Discovery Finding IDs are defined in the BRD. CAP: No formal capability catalogue/IDs are defined in the BRD.</t>
  </si>
  <si>
    <t>NFR-013</t>
  </si>
  <si>
    <t>Compliance — The solution shall support Northwind's applicable legal, regulatory, contractual and internal policy obligations.</t>
  </si>
  <si>
    <t>Relevant obligations are identified and addressed in the design.</t>
  </si>
  <si>
    <t>BRD note: No specific regulation assumed. | DF: No formal Discovery Finding IDs are defined in the BRD. CAP: No formal capability catalogue/IDs are defined in the BRD.</t>
  </si>
  <si>
    <t>NFR-014</t>
  </si>
  <si>
    <t>Monitoring and Observability — The solution shall provide sufficient visibility into service health, system behaviour, capacity, performance and relevant security events to support effective operational management.</t>
  </si>
  <si>
    <t>IT personnel can obtain the information required to identify and investigate agreed operational conditions.</t>
  </si>
  <si>
    <t>BRD note: Strengthened to reflect Workshop 2 distinction between monitoring and capacity management. | DF: No formal Discovery Finding IDs are defined in the BRD. CAP: No formal capability catalogue/IDs are defined in the BRD.</t>
  </si>
  <si>
    <t>NFR-015</t>
  </si>
  <si>
    <t>Extensibility — The solution shall provide a foundation that can accommodate future services, capabilities and Statements of Work without requiring fundamental redesign.</t>
  </si>
  <si>
    <t>Future agreed capabilities can be introduced using the established architecture and operational model.</t>
  </si>
  <si>
    <t>BRD note: Supports long-term roadmap. | DF: No formal Discovery Finding IDs are defined in the BRD. CAP: No formal capability catalogue/IDs are defined in the BRD.</t>
  </si>
  <si>
    <t>NFR-016</t>
  </si>
  <si>
    <t>Operational Consistency — Infrastructure configuration and operational activities shall follow documented and repeatable standards to reduce variation and human error.</t>
  </si>
  <si>
    <t>Agreed standards are documented and consistently applied across supported systems.</t>
  </si>
  <si>
    <t>BRD note: New v1.0 NFR. | DF: No formal Discovery Finding IDs are defined in the BRD. CAP: No formal capability catalogue/IDs are defined in the BRD.</t>
  </si>
  <si>
    <t>NFR-017</t>
  </si>
  <si>
    <t>Recoverable Operations — The solution shall support safe restoration of services following operational errors, configuration changes, software failures or infrastructure incidents.</t>
  </si>
  <si>
    <t>Defined recovery procedures can restore affected services to an agreed operational state.</t>
  </si>
  <si>
    <t>BRD note: Distinguishes operational recovery from backup itself. | DF: No formal Discovery Finding IDs are defined in the BRD. CAP: No formal capability catalogue/IDs are defined in the BRD.</t>
  </si>
  <si>
    <t>NFR-018</t>
  </si>
  <si>
    <t>Time Consistency — Supported infrastructure shall maintain sufficiently consistent system time to support authentication, logging, auditing, monitoring and troubleshooting.</t>
  </si>
  <si>
    <t>Systems maintain time within an agreed tolerance and time deviations can be detected.</t>
  </si>
  <si>
    <t>BRD note: Added following Sarah's email. | DF: No formal Discovery Finding IDs are defined in the BRD. CAP: No formal capability catalogue/IDs are defined in the BRD.</t>
  </si>
  <si>
    <t>RTM Legend &amp; Reference</t>
  </si>
  <si>
    <t>Definitions and baseline rules for maintaining the Northwind Outdoor Ltd. RTM.</t>
  </si>
  <si>
    <t>Code / Field</t>
  </si>
  <si>
    <t>Meaning</t>
  </si>
  <si>
    <t>How it is used in this RTM</t>
  </si>
  <si>
    <t>Baseline value / rule</t>
  </si>
  <si>
    <t>Discovery Finding</t>
  </si>
  <si>
    <t>Links a requirement to a formal discovery finding.</t>
  </si>
  <si>
    <t>TBD — BRD v1.0 does not define individual Discovery Finding IDs.</t>
  </si>
  <si>
    <t>Business Driver</t>
  </si>
  <si>
    <t>Business reason supporting the requirement.</t>
  </si>
  <si>
    <t>Preserved exactly from BRD v1.0: BD-001, BD-002 or BD-003.</t>
  </si>
  <si>
    <t>Capability</t>
  </si>
  <si>
    <t>Business or technical capability supported by the requirement.</t>
  </si>
  <si>
    <t>TBD — BRD v1.0 does not define a formal capability catalogue or IDs.</t>
  </si>
  <si>
    <t>Business Requirements Document</t>
  </si>
  <si>
    <t>Approved baseline requirement source.</t>
  </si>
  <si>
    <t>BRD v1.0, Section 8 (functional) or Section 9 (non-functional).</t>
  </si>
  <si>
    <t>Statement of Work</t>
  </si>
  <si>
    <t>Delivery scope, activities, tests and deliverables.</t>
  </si>
  <si>
    <t>Not Yet Defined — allocated after requirements prioritisation and delivery planning.</t>
  </si>
  <si>
    <t>Delivery iteration in which work is scheduled.</t>
  </si>
  <si>
    <t>Not Yet Defined — project sprint plan has not been approved.</t>
  </si>
  <si>
    <t>High-Level Design</t>
  </si>
  <si>
    <t>Architecture and solution-direction reference.</t>
  </si>
  <si>
    <t>Not Yet Defined — HLD follows BRD approval.</t>
  </si>
  <si>
    <t>Low-Level Design</t>
  </si>
  <si>
    <t>Detailed technical implementation reference.</t>
  </si>
  <si>
    <t>Not Yet Defined — created after HLD and SoW definition.</t>
  </si>
  <si>
    <t>Architecture Decision Record</t>
  </si>
  <si>
    <t>Record of a significant architectural decision.</t>
  </si>
  <si>
    <t>Not Yet Defined — created only when a decision is made.</t>
  </si>
  <si>
    <t>Test or User Acceptance Test reference</t>
  </si>
  <si>
    <t>Evidence that the requirement has been verified.</t>
  </si>
  <si>
    <t>Not Yet Defined — developed during testing planning.</t>
  </si>
  <si>
    <t>Lifecycle status</t>
  </si>
  <si>
    <t>Current requirement position in the delivery lifecycle.</t>
  </si>
  <si>
    <t>Baseline Pending Approval — BRD v1.0 states its status is Pending Approval.</t>
  </si>
  <si>
    <t>Delivery owner</t>
  </si>
  <si>
    <t>Person/team accountable for progressing delivery.</t>
  </si>
  <si>
    <t>TBD — delivery ownership is not assigned in BRD v1.0.</t>
  </si>
  <si>
    <t>MoSCoW priority</t>
  </si>
  <si>
    <t>Relative delivery priority.</t>
  </si>
  <si>
    <t>Preserved exactly from the BRD requirement tables.</t>
  </si>
  <si>
    <t>Requirement owner</t>
  </si>
  <si>
    <t>Northwind stakeholder accountable for the business requirement.</t>
  </si>
  <si>
    <t>Maintenance note: Update delivery and verification references only when the relevant SoW, design, decision, test or acceptance evidence has been formally created. Do not replace TBD values with assumptions.</t>
  </si>
  <si>
    <t>BRD v1.0 BR-001</t>
  </si>
  <si>
    <t>BRD v1.0 BR-002</t>
  </si>
  <si>
    <t>BRD v1.0 BR-003</t>
  </si>
  <si>
    <t>BRD v1.0 BR-004</t>
  </si>
  <si>
    <t>BRD v1.0 BR-005</t>
  </si>
  <si>
    <t>BRD v1.0 BR-006</t>
  </si>
  <si>
    <t>BRD v1.0 BR-007</t>
  </si>
  <si>
    <t>BRD v1.0 BR-008</t>
  </si>
  <si>
    <t>BRD v1.0 BR-009</t>
  </si>
  <si>
    <t>BRD v1.0 BR-010</t>
  </si>
  <si>
    <t>BRD v1.0 BR-011</t>
  </si>
  <si>
    <t>BRD v1.0 BR-012</t>
  </si>
  <si>
    <t>BRD v1.0 BR-013</t>
  </si>
  <si>
    <t>BRD v1.0 BR-014</t>
  </si>
  <si>
    <t>BRD v1.0 BR-015</t>
  </si>
  <si>
    <t>BRD v1.0 BR-016</t>
  </si>
  <si>
    <t>BRD v1.0 BR-017</t>
  </si>
  <si>
    <t>BRD v1.0 BR-018</t>
  </si>
  <si>
    <t>BRD v1.0 BR-019</t>
  </si>
  <si>
    <t>BRD v1.0 BR-020</t>
  </si>
  <si>
    <t>BRD v1.0 BR-021</t>
  </si>
  <si>
    <t>BRD v1.0 BR-022</t>
  </si>
  <si>
    <t>BRD v1.0 BR-023</t>
  </si>
  <si>
    <t>BRD v1.0 BR-024</t>
  </si>
  <si>
    <t>BRD v1.0 BR-025</t>
  </si>
  <si>
    <t>BRD v1.0 BR-026</t>
  </si>
  <si>
    <t>BRD v1.0 BR-027</t>
  </si>
  <si>
    <t>BRD v1.0 BR-028</t>
  </si>
  <si>
    <t>BRD v1.0 BR-029</t>
  </si>
  <si>
    <t>BRD v1.0 BR-030</t>
  </si>
  <si>
    <t>BRD v1.0 BR-031</t>
  </si>
  <si>
    <t>BRD v1.0 BR-032</t>
  </si>
  <si>
    <t>BRD v1.0 BR-033</t>
  </si>
  <si>
    <t>BRD v1.0 BR-034</t>
  </si>
  <si>
    <t>BRD v1.0 BR-035</t>
  </si>
  <si>
    <t>BRD v1.0 BR-036</t>
  </si>
  <si>
    <t>BRD v1.0 BR-037</t>
  </si>
  <si>
    <t>BRD v1.0 BR-038</t>
  </si>
  <si>
    <t>BRD v1.0 NFR-001</t>
  </si>
  <si>
    <t>BRD v1.0 NFR-002</t>
  </si>
  <si>
    <t>BRD v1.0 NFR-003</t>
  </si>
  <si>
    <t>BRD v1.0 NFR-004</t>
  </si>
  <si>
    <t>BRD v1.0 NFR-005</t>
  </si>
  <si>
    <t>BRD v1.0 NFR-006</t>
  </si>
  <si>
    <t>BRD v1.0 NFR-007</t>
  </si>
  <si>
    <t>BRD v1.0 NFR-008</t>
  </si>
  <si>
    <t>BRD v1.0 NFR-009</t>
  </si>
  <si>
    <t>BRD v1.0 NFR-010</t>
  </si>
  <si>
    <t>BRD v1.0 NFR-011</t>
  </si>
  <si>
    <t>BRD v1.0 NFR-012</t>
  </si>
  <si>
    <t>BRD v1.0 NFR-013</t>
  </si>
  <si>
    <t>BRD v1.0 NFR-014</t>
  </si>
  <si>
    <t>BRD v1.0 NFR-015</t>
  </si>
  <si>
    <t>BRD v1.0 NFR-016</t>
  </si>
  <si>
    <t>BRD v1.0 NFR-017</t>
  </si>
  <si>
    <t>BRD v1.0 NFR-018</t>
  </si>
  <si>
    <t>RHCSA Objective</t>
  </si>
  <si>
    <t>#</t>
  </si>
  <si>
    <t>Architecture Domain</t>
  </si>
  <si>
    <t>What we'll design at HLD level</t>
  </si>
  <si>
    <t>Example capabilities inside it</t>
  </si>
  <si>
    <t>AD-01</t>
  </si>
  <si>
    <t>Network Architecture</t>
  </si>
  <si>
    <t>How systems/users connect and how networks are logically separated</t>
  </si>
  <si>
    <t>VLANs, routing, firewall boundaries, Internet access, remote connectivity</t>
  </si>
  <si>
    <t>AD-02</t>
  </si>
  <si>
    <t>Compute &amp; Platform Architecture</t>
  </si>
  <si>
    <t>Where workloads run</t>
  </si>
  <si>
    <t>Proxmox/virtualisation, Linux VMs, server roles, sandbox/production separation</t>
  </si>
  <si>
    <t>AD-03</t>
  </si>
  <si>
    <t>Identity &amp; Access Architecture</t>
  </si>
  <si>
    <t>How people/systems authenticate and receive access</t>
  </si>
  <si>
    <t>Users, groups, authentication, sudo/admin access, joiners/leavers</t>
  </si>
  <si>
    <t>AD-04</t>
  </si>
  <si>
    <t>Core Infrastructure Services</t>
  </si>
  <si>
    <t>Fundamental services other systems depend upon</t>
  </si>
  <si>
    <t>DNS, DHCP, NTP/time synchronisation</t>
  </si>
  <si>
    <t>AD-05</t>
  </si>
  <si>
    <t>Application &amp; Business Services</t>
  </si>
  <si>
    <t>Services directly consumed by Northwind users/business processes</t>
  </si>
  <si>
    <t>File sharing, printing, internal applications/web services</t>
  </si>
  <si>
    <t>AD-06</t>
  </si>
  <si>
    <t>Storage Architecture</t>
  </si>
  <si>
    <t>How persistent data is stored and expanded</t>
  </si>
  <si>
    <t>Filesystems, logical storage, capacity, growth</t>
  </si>
  <si>
    <t>AD-07</t>
  </si>
  <si>
    <t>Backup &amp; Recovery Architecture</t>
  </si>
  <si>
    <t>How data/services are protected and recovered</t>
  </si>
  <si>
    <t>Backups, retention, restore testing, RPO/RTO</t>
  </si>
  <si>
    <t>AD-08</t>
  </si>
  <si>
    <t>Security Architecture</t>
  </si>
  <si>
    <t>Security principles and trust boundaries across the environment</t>
  </si>
  <si>
    <t>Segmentation, least privilege, firewalling, SELinux, hardening</t>
  </si>
  <si>
    <t>AD-09</t>
  </si>
  <si>
    <t>Observability Architecture</t>
  </si>
  <si>
    <t>How we know what the environment is doing</t>
  </si>
  <si>
    <t>Monitoring, logging, alerting, capacity metrics</t>
  </si>
  <si>
    <t>AD-10</t>
  </si>
  <si>
    <t>Management &amp; Operations Architecture</t>
  </si>
  <si>
    <t>How IT operates and maintains the environment</t>
  </si>
  <si>
    <t>SSH/admin access, patching, software management, maintenance, operational procedures</t>
  </si>
  <si>
    <t>AD-11</t>
  </si>
  <si>
    <t>Integration Architecture</t>
  </si>
  <si>
    <t>How Northwind systems interact with external/existing platforms</t>
  </si>
  <si>
    <t>Microsoft 365, external services, future integrations</t>
  </si>
  <si>
    <t>AD-12</t>
  </si>
  <si>
    <t>Resilience &amp; Availability Architecture</t>
  </si>
  <si>
    <t>How the architecture responds to failures</t>
  </si>
  <si>
    <t>Redundancy, failure domains, HA decisions, service dependencies</t>
  </si>
  <si>
    <t>Primary AD</t>
  </si>
  <si>
    <t>Secondary Ads</t>
  </si>
  <si>
    <t>AD-07, AD-06, AD-09</t>
  </si>
  <si>
    <t>AD-01, AD-08, AD-10</t>
  </si>
  <si>
    <t>Key ADs</t>
  </si>
  <si>
    <t>AD-04,AD-08,AD-09,AD-10</t>
  </si>
  <si>
    <t>AD-01, AD-02,AD-05</t>
  </si>
  <si>
    <t xml:space="preserve">AD-03, AD-05, AD-08, </t>
  </si>
  <si>
    <t>AD-11, AD-02, AD-09</t>
  </si>
  <si>
    <t>AD-03, AD-05, AD-08</t>
  </si>
  <si>
    <t>AD-08, AD-05, AD-10</t>
  </si>
  <si>
    <t>AD-02, AD-11, AD-09</t>
  </si>
  <si>
    <t>AD-06, AD-03, AD-08, AD-07</t>
  </si>
  <si>
    <t>AD-01, AD-09, AD-10, AD-12, AD-02</t>
  </si>
  <si>
    <t>AD-10, AD-03, AD-08</t>
  </si>
  <si>
    <t>AD-06, AD-09, AD-07</t>
  </si>
  <si>
    <t>AD-10, AD-05, AD-03</t>
  </si>
  <si>
    <t>AD-03, AD-09, AD-05</t>
  </si>
  <si>
    <t>AD-10, AD-06, AD-11, AD-02</t>
  </si>
  <si>
    <t>AD-10, AD-08, AD-07</t>
  </si>
  <si>
    <t>AD-02, AD-05, AD-06, AD-01, AD-04, AD-03, AD-12</t>
  </si>
  <si>
    <t>AD-09, AD-10, AD-03</t>
  </si>
  <si>
    <t>AD-02, AD-01, AD-05, AD-04</t>
  </si>
  <si>
    <t>AD-12, AD-06, AD-10</t>
  </si>
  <si>
    <t>AD-09, AD-08, AD-02, AD-05, AD-01</t>
  </si>
  <si>
    <t>AD-10, AD-12, AD-02</t>
  </si>
  <si>
    <t>AD-06, AD-09, AD-08, AD-05</t>
  </si>
  <si>
    <t>AD-07, AD-10, AD-02</t>
  </si>
  <si>
    <t>AD-05, AD-06, AD-04, AD-03, AD-01, AD-09, AD-08</t>
  </si>
  <si>
    <t>AD-05, AD-02, AD-01</t>
  </si>
  <si>
    <t>AD-06, AD-04, AD-09, AD-10, AD-08, AD-07</t>
  </si>
  <si>
    <r>
      <t xml:space="preserve">Application Resilience — Business-critical applications shall minimise single points of failure and support improved service resilience </t>
    </r>
    <r>
      <rPr>
        <b/>
        <sz val="9"/>
        <rFont val="Carlito"/>
      </rPr>
      <t>where justified by business requirements</t>
    </r>
    <r>
      <rPr>
        <sz val="9"/>
        <rFont val="Carlito"/>
      </rPr>
      <t>.</t>
    </r>
  </si>
  <si>
    <t>AD-08, AD-03, AD-01</t>
  </si>
  <si>
    <t>AD-02, AD-09, AD-04, AD-12</t>
  </si>
  <si>
    <t>AD-08, AD-03, AD-05</t>
  </si>
  <si>
    <t>AD-09, AD-10, AD-11, AD-12, AD-04</t>
  </si>
  <si>
    <t>AD-01, AD-03, AD-09</t>
  </si>
  <si>
    <t>AD-10, AD-05, AD-02, AD-11, AD-12</t>
  </si>
  <si>
    <t>AD-08, AD-12, AD-02</t>
  </si>
  <si>
    <t>AD-05, AD-10, AD-09, AD-03, AD-04</t>
  </si>
  <si>
    <t>AD-05, AD-03, AD-01</t>
  </si>
  <si>
    <t>AD-08, AD-10, AD-02, AD-09, AD-12</t>
  </si>
  <si>
    <t>AD-12, AD-05, AD-06</t>
  </si>
  <si>
    <t>AD-01, AD-04, AD-08, AD-10, AD-09, AD-07</t>
  </si>
  <si>
    <t>AD-06, AD-01, AD-05</t>
  </si>
  <si>
    <t>AD-03, AD-04, AD-09, AD-10, AD-08, AD-07, AD-12</t>
  </si>
  <si>
    <t>AD-02, AD-08, AD-04</t>
  </si>
  <si>
    <t>AD-01, AD-03, AD-05, AD-06, AD-09, AD-07, AD-12</t>
  </si>
  <si>
    <t>AD-12, AD-07, AD-05</t>
  </si>
  <si>
    <t>AD-02, AD-01, AD-03, AD-04, AD-06, AD-08, AD-09, AD-11</t>
  </si>
  <si>
    <t>AD-10, AD-08, AD-06</t>
  </si>
  <si>
    <t>AD-02, AD-05, AD-01, AD-07, AD-12, AD-03</t>
  </si>
  <si>
    <t>AD-03, AD-08, AD-09</t>
  </si>
  <si>
    <t>AD-05, AD-02, AD-11</t>
  </si>
  <si>
    <t>AD-01, AD-03, AD-10</t>
  </si>
  <si>
    <t>AD-02, AD-08, AD-09, AD-12</t>
  </si>
  <si>
    <t>AD-02, AD-08, AD-09</t>
  </si>
  <si>
    <t>AD-01, AD-05, AD-11</t>
  </si>
  <si>
    <t>AD-08, AD-02, AD-12</t>
  </si>
  <si>
    <t>AD-05, AD-09, AD-07, AD-11</t>
  </si>
  <si>
    <t>AD-02, AD-08, AD-05</t>
  </si>
  <si>
    <t>AD-09, AD-12, AD-11</t>
  </si>
  <si>
    <t>AD-02, AD-03, AD-08</t>
  </si>
  <si>
    <t>AD-05, AD-06, AD-09, AD-07, AD-04, AD-01</t>
  </si>
  <si>
    <t>AD-07, AD-05, AD-06, AD-04, AD-12</t>
  </si>
  <si>
    <t>AD-09, AD-02, AD-06</t>
  </si>
  <si>
    <t>AD-01, AD-05, AD-07, AD-12, AD-04</t>
  </si>
  <si>
    <t>AD-03, AD-09, AD-08</t>
  </si>
  <si>
    <t>AD-10, AD-02, AD-01, AD-05</t>
  </si>
  <si>
    <t>AD-03, AD-02, AD-10</t>
  </si>
  <si>
    <t>AD-01, AD-05, AD-06, AD-09</t>
  </si>
  <si>
    <t>AD-03, AD-08, AD-10</t>
  </si>
  <si>
    <t>AD-05, AD-04, AD-02, AD-09, AD-12</t>
  </si>
  <si>
    <t>AD-09, AD-02, AD-08</t>
  </si>
  <si>
    <t>AD-01, AD-05, AD-03, AD-04, AD-06, AD-07, AD-12, AD-11</t>
  </si>
  <si>
    <t>AD-07 Backup &amp; Recovery, AD-02 Compute &amp; Platform, AD-09 Observability</t>
  </si>
  <si>
    <t>AD-01, AD-04, AD-05, AD-06, AD-10</t>
  </si>
  <si>
    <t>AD-02 Compute &amp; Platform, AD-10 Management &amp; Operations, AD-09 Observability</t>
  </si>
  <si>
    <t>AD-01, AD-04, AD-05, AD-06, AD-07, AD-08</t>
  </si>
  <si>
    <t>AD-06 Storage, AD-09 Observability, AD-01 Network</t>
  </si>
  <si>
    <t>AD-05, AD-10, AD-12</t>
  </si>
  <si>
    <t>AD-06 Storage, AD-01 Network, AD-10 Management &amp; Operations</t>
  </si>
  <si>
    <t>AD-03, AD-04, AD-05, AD-09, AD-12</t>
  </si>
  <si>
    <t>AD-03 Identity &amp; Access, AD-01 Network, AD-10 Management &amp; Operations</t>
  </si>
  <si>
    <t>AD-02, AD-05, AD-06, AD-09, AD-11</t>
  </si>
  <si>
    <t>AD-08 Security, AD-10 Management &amp; Operations, AD-03 Identity &amp; Access</t>
  </si>
  <si>
    <t>AD-02, AD-05, AD-11</t>
  </si>
  <si>
    <t>AD-03 Identity &amp; Access, AD-07 Backup &amp; Recovery, AD-06 Storage</t>
  </si>
  <si>
    <t>AD-05, AD-09, AD-10, AD-11</t>
  </si>
  <si>
    <t>AD-02 Compute &amp; Platform, AD-24-equivalent standardisation via BR-024 / AD-08 Security, AD-09 Observability</t>
  </si>
  <si>
    <t>AD-01, AD-04, AD-05, AD-06, AD-07</t>
  </si>
  <si>
    <t>AD-12 Resilience &amp; Availability, AD-10 Management &amp; Operations, AD-02 Compute &amp; Platform</t>
  </si>
  <si>
    <t>AD-05, AD-06, AD-09, AD-04, AD-03</t>
  </si>
  <si>
    <t>AD-09 Observability, AD-02 Compute &amp; Platform, AD-12 Resilience &amp; Availability</t>
  </si>
  <si>
    <t>AD-05, AD-07, AD-08, AD-03, AD-04</t>
  </si>
  <si>
    <t>AD-02 Compute &amp; Platform, AD-03 Identity &amp; Access, AD-08 Security</t>
  </si>
  <si>
    <t>AD-04, AD-05, AD-09, AD-01</t>
  </si>
  <si>
    <t>AD-05 Application &amp; Business Services, AD-03 Identity &amp; Access, AD-01 Network</t>
  </si>
  <si>
    <t>AD-02, AD-08, AD-10, AD-04</t>
  </si>
  <si>
    <t>AD-10 Management &amp; Operations, AD-09 Observability, AD-03 Identity &amp; Access</t>
  </si>
  <si>
    <t>AD-05, AD-06, AD-07, AD-11</t>
  </si>
  <si>
    <t>AD-10 Management &amp; Operations, AD-08 Security, AD-02 Compute &amp; Platform</t>
  </si>
  <si>
    <t>AD-01, AD-04, AD-05, AD-06, AD-07, AD-12</t>
  </si>
  <si>
    <t>AD-01 Network, AD-10 Management &amp; Operations, AD-11 Integration</t>
  </si>
  <si>
    <t>AD-03, AD-04, AD-05, AD-06, AD-08, AD-09, AD-12</t>
  </si>
  <si>
    <t>AD-02 Compute &amp; Platform, AD-08 Security, AD-09 Observability</t>
  </si>
  <si>
    <t>AD-01, AD-03, AD-04, AD-05, AD-06, AD-07</t>
  </si>
  <si>
    <t>AD-07 Backup &amp; Recovery, AD-10 Management &amp; Operations, AD-02 Compute &amp; Platform</t>
  </si>
  <si>
    <t>AD-05, AD-06, AD-09, AD-08</t>
  </si>
  <si>
    <t>AD-03 Identity &amp; Access, AD-09 Observability, AD-08 Security</t>
  </si>
  <si>
    <t>Capability ID</t>
  </si>
  <si>
    <t>Business Purpose</t>
  </si>
  <si>
    <t>CAP-001</t>
  </si>
  <si>
    <t>Identity &amp; Access Management</t>
  </si>
  <si>
    <t>Provides centralised management of user identities, roles and access throughout the user lifecycle.</t>
  </si>
  <si>
    <t>CAP-002</t>
  </si>
  <si>
    <t>Automation &amp; Scheduled Operations</t>
  </si>
  <si>
    <t>Reduces repetitive manual administration and improves consistency by enabling repeatable and scheduled operational tasks.</t>
  </si>
  <si>
    <t>CAP-003</t>
  </si>
  <si>
    <t>File &amp; Data Services</t>
  </si>
  <si>
    <t>Enables authorised users to store, organise, locate and share business files using a consistent structure.</t>
  </si>
  <si>
    <t>CAP-004</t>
  </si>
  <si>
    <t>Storage Provisioning/Management</t>
  </si>
  <si>
    <t>Provides appropriately sized, accessible and manageable persistent storage to support business data, applications and infrastructure services.</t>
  </si>
  <si>
    <t>CAP-005</t>
  </si>
  <si>
    <t>Logging &amp; Audit</t>
  </si>
  <si>
    <t>Clear audit trail of system changes and activity captured from a range of devices and services.</t>
  </si>
  <si>
    <t>CAP-006</t>
  </si>
  <si>
    <t>Monitoring &amp; Alerting</t>
  </si>
  <si>
    <t>Provides visibility of service availability, health, resource utilisation and abnormal conditions, with timely alerting to enable proactive operational response.</t>
  </si>
  <si>
    <t>CAP-007</t>
  </si>
  <si>
    <t>Backup &amp; Recovery</t>
  </si>
  <si>
    <t>In cases of outages, errors etc. business needs recent backups and proven process to restore from backups efficiently.</t>
  </si>
  <si>
    <t>CAP-008</t>
  </si>
  <si>
    <t>Remote Access</t>
  </si>
  <si>
    <t>Authorised users can perform their jobs from outside the office environment</t>
  </si>
  <si>
    <t>CAP-009</t>
  </si>
  <si>
    <t>Network Connectivity &amp; Core Network Services</t>
  </si>
  <si>
    <t>Business needs system to system and user to system communications, service discovery and name resolutions, network config, prevent unauthorised access</t>
  </si>
  <si>
    <t>CAP-010</t>
  </si>
  <si>
    <t>Application Hosting</t>
  </si>
  <si>
    <t>Northwind requires infrastructure capable of running and supporting business applications.</t>
  </si>
  <si>
    <t>CAP-011</t>
  </si>
  <si>
    <t>Service Integration / Interoperability</t>
  </si>
  <si>
    <t>New infrastructure should be capable of interoperating with existing business services</t>
  </si>
  <si>
    <t>CAP-012</t>
  </si>
  <si>
    <t>Reporting</t>
  </si>
  <si>
    <t>Business wants to generate statistics/KPIs regarding the current systems and services to influence decisions re growth, investment, changes etc.</t>
  </si>
  <si>
    <t>CAP-013</t>
  </si>
  <si>
    <t>Software &amp; Patch Management</t>
  </si>
  <si>
    <t>Admins must be able to control the software lifecycle, run and test updates, revert if errors encountered</t>
  </si>
  <si>
    <t>CAP-014</t>
  </si>
  <si>
    <t>Time Synchronisation Services</t>
  </si>
  <si>
    <t>Maintains a consistent time reference across infrastructure and services to support reliable authentication, scheduling, monitoring, logging and investigation.</t>
  </si>
  <si>
    <t>CAP-015</t>
  </si>
  <si>
    <t>Compute Provisioning / Compute Hosting</t>
  </si>
  <si>
    <t>Provides the processing resources and execution environments required to run Northwind infrastructure and business workloads.</t>
  </si>
  <si>
    <t>CAP-016</t>
  </si>
  <si>
    <t>Systems Administration &amp; Management</t>
  </si>
  <si>
    <t>Provides authorised administrators with secure mechanisms to configure, operate, maintain and troubleshoot infrastructure services.</t>
  </si>
  <si>
    <t>CAP-017</t>
  </si>
  <si>
    <t>Security</t>
  </si>
  <si>
    <t>Business needs designated security tools to protect systems, services and business information from unauthorised access, misuse and compromise.</t>
  </si>
  <si>
    <t>CAP-018</t>
  </si>
  <si>
    <t>Asset &amp; Configuration Management</t>
  </si>
  <si>
    <t>Provides an authoritative record of infrastructure and technology assets, their ownership, status and lifecycle to support effective administration and planning.</t>
  </si>
  <si>
    <t>CAP-019</t>
  </si>
  <si>
    <t>[CONDITIONAL] Governance / Approval Workflow Support</t>
  </si>
  <si>
    <t>Some requests may need business approval not only technical access / ability</t>
  </si>
  <si>
    <t>-</t>
  </si>
  <si>
    <t>CAP (Primary)</t>
  </si>
  <si>
    <t>CAP (Secondary)</t>
  </si>
  <si>
    <t>CAP-017
CAP-005</t>
  </si>
  <si>
    <t>CAP-005
CAP-006</t>
  </si>
  <si>
    <t>CAP-008
CAP-017</t>
  </si>
  <si>
    <t>CAP-017
CAP-001</t>
  </si>
  <si>
    <t>CAP-006
CAP-005</t>
  </si>
  <si>
    <t>CAP-007
CAP-001</t>
  </si>
  <si>
    <t>CAP-002
CAP-013</t>
  </si>
  <si>
    <t>CAP-005
CAP-012</t>
  </si>
  <si>
    <t>DD-012 — Availability &amp; Resilience Strategy</t>
  </si>
  <si>
    <t>DD-002 — Identity &amp; Access Management Architecture</t>
  </si>
  <si>
    <t>DD-003 — File &amp; Data Services Architecture</t>
  </si>
  <si>
    <t>HLD (Primary)</t>
  </si>
  <si>
    <t>HLD (Secondary)</t>
  </si>
  <si>
    <t>DD-004 — Storage Architecture</t>
  </si>
  <si>
    <t>DD-009 Network Security &amp; Segmentation</t>
  </si>
  <si>
    <t>DD-002 Identity &amp; Access Management
DD-007 Logging &amp; Audit</t>
  </si>
  <si>
    <t>DD-007 — Logging &amp; Audit Architecture</t>
  </si>
  <si>
    <t>DD-006 — Monitoring &amp; Alerting Architecture</t>
  </si>
  <si>
    <t>DD-006 Monitoring &amp; Alerting</t>
  </si>
  <si>
    <t>DD-005 — Backup &amp; Recovery Architecture</t>
  </si>
  <si>
    <t>DD-001 — Compute / Platform Architecture
DD-010 — Application Hosting Architecture</t>
  </si>
  <si>
    <t>DD-008 — Remote Administration Architecture</t>
  </si>
  <si>
    <t>DD-002 — Identity &amp; Access Management Architecture
DD-009 — Network Security &amp; Segmentation</t>
  </si>
  <si>
    <t>DD-011 — Service Integration / Interoperability Architecture</t>
  </si>
  <si>
    <t>DD-010 — Application Hosting Architecture</t>
  </si>
  <si>
    <t>DD-001 — Compute / Platform Architecture</t>
  </si>
  <si>
    <t>DD-001 — Compute / Platform Architecture
DD-012 — Availability &amp; Resilience Strategy</t>
  </si>
  <si>
    <t>DD-001 — Compute &amp; Platform Architecture</t>
  </si>
  <si>
    <t>DD-004 — Storage Architecture
DD-009 — Network Security &amp; Segmentation
DD-012 — Availability &amp; Resilience Strategy</t>
  </si>
  <si>
    <t>DD-011 — Automation &amp; Scheduled Operations Architecture</t>
  </si>
  <si>
    <t>DD-010 — Application Hosting Architecture
DD-012 — Availability &amp; Resilience Strategy</t>
  </si>
  <si>
    <t>DD-006 — Monitoring &amp; Alerting</t>
  </si>
  <si>
    <t>DD-007 — Logging &amp; Audit</t>
  </si>
  <si>
    <t>No dedicated</t>
  </si>
  <si>
    <t>DD-009 — Network Security &amp; Segmentation</t>
  </si>
  <si>
    <t>DD-010 — Patch &amp; Software Lifecycle Management Architecture</t>
  </si>
  <si>
    <t>DD-009 — Network Security &amp; Segmentation Architecture</t>
  </si>
  <si>
    <t>DD-002 — Identity &amp; Access Management Architecture
DD-008 — Remote Administration Architecture</t>
  </si>
  <si>
    <t>DD-007 — Logging &amp; Audit
DD-010 — Application Hosting Architecture</t>
  </si>
  <si>
    <t>DD-005 — Backup &amp; Recovery Architecture; DD-006 — Monitoring &amp; Alerting Architecture</t>
  </si>
  <si>
    <t>DD-001 — Compute / Virtualisation</t>
  </si>
  <si>
    <t>DD-001 — Compute / Virtualisation; DD-004 — Storage Architecture</t>
  </si>
  <si>
    <t>DD-004 — Storage Architecture; DD-012 — Availability &amp; Resilience Strategy</t>
  </si>
  <si>
    <t>DD-002 — Identity &amp; Access Management Architecture; DD-008 — Remote &amp; Administrative Access Architecture</t>
  </si>
  <si>
    <t>DD-002 — Identity &amp; Access Management Architecture; DD-005 — Backup &amp; Recovery Architecture</t>
  </si>
  <si>
    <t>DD-010 — Patch &amp; Software Lifecycle Management Architecture; DD-001 — Compute / Virtualisation</t>
  </si>
  <si>
    <t>DD-010 — Patch &amp; Software Lifecycle Management Architecture; DD-012 — Availability &amp; Resilience Strategy</t>
  </si>
  <si>
    <t>DD-001 — Compute / Virtualisation; DD-008 — Remote &amp; Administrative Access Architecture</t>
  </si>
  <si>
    <t>DD-007 — Logging &amp; Audit Architecture; DD-010 — Patch &amp; Software Lifecycle Management Architecture</t>
  </si>
  <si>
    <t>DD-001 — Compute / Virtualisation; DD-010 — Patch &amp; Software Lifecycle Management Architecture</t>
  </si>
  <si>
    <t>DD-005 — Backup &amp; Recovery Architecture; DD-010 — Patch &amp; Software Lifecycle Management Architecture</t>
  </si>
  <si>
    <t>LLD-01</t>
  </si>
  <si>
    <t>LLD (Primary)</t>
  </si>
  <si>
    <t>LLD (Secondary)</t>
  </si>
  <si>
    <t>LLD-08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</si>
</sst>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rlito"/>
    </font>
    <font>
      <b/>
      <sz val="16"/>
      <color rgb="FFFFFFFF"/>
      <name val="Carlito"/>
    </font>
    <font>
      <i/>
      <sz val="10"/>
      <color rgb="FF6B7280"/>
      <name val="Carlito"/>
    </font>
    <font>
      <b/>
      <sz val="10"/>
      <color rgb="FFFFFFFF"/>
      <name val="Carlito"/>
    </font>
    <font>
      <sz val="9"/>
      <name val="Carlito"/>
    </font>
    <font>
      <b/>
      <sz val="9"/>
      <color rgb="FF17365D"/>
      <name val="Carlito"/>
    </font>
    <font>
      <b/>
      <sz val="11"/>
      <color rgb="FFFFFFFF"/>
      <name val="Carlito"/>
    </font>
    <font>
      <b/>
      <sz val="11"/>
      <color rgb="FF17365D"/>
      <name val="Carlito"/>
    </font>
    <font>
      <i/>
      <sz val="11"/>
      <color rgb="FF7F6000"/>
      <name val="Carlito"/>
    </font>
    <font>
      <b/>
      <sz val="14"/>
      <color rgb="FF385723"/>
      <name val="Carlito"/>
    </font>
    <font>
      <sz val="9"/>
      <color theme="1"/>
      <name val="Carlito"/>
    </font>
    <font>
      <b/>
      <sz val="11"/>
      <name val="Carlito"/>
    </font>
    <font>
      <b/>
      <sz val="9"/>
      <name val="Carlito"/>
    </font>
  </fonts>
  <fills count="9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2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theme="4" tint="0.79998168889431442"/>
        <bgColor theme="4" tint="0.79998168889431442"/>
      </patternFill>
    </fill>
  </fills>
  <borders count="2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DCE6F1"/>
      </right>
      <top/>
      <bottom style="thin">
        <color rgb="FFDCE6F1"/>
      </bottom>
      <diagonal/>
    </border>
    <border>
      <left style="thin">
        <color rgb="FFDCE6F1"/>
      </left>
      <right style="thin">
        <color rgb="FFDCE6F1"/>
      </right>
      <top/>
      <bottom style="thin">
        <color rgb="FFDCE6F1"/>
      </bottom>
      <diagonal/>
    </border>
    <border>
      <left style="thin">
        <color rgb="FFDCE6F1"/>
      </left>
      <right/>
      <top/>
      <bottom style="thin">
        <color rgb="FFDCE6F1"/>
      </bottom>
      <diagonal/>
    </border>
    <border>
      <left/>
      <right style="thin">
        <color rgb="FFDCE6F1"/>
      </right>
      <top style="thin">
        <color rgb="FFDCE6F1"/>
      </top>
      <bottom style="thin">
        <color rgb="FFDCE6F1"/>
      </bottom>
      <diagonal/>
    </border>
    <border>
      <left style="thin">
        <color rgb="FFDCE6F1"/>
      </left>
      <right style="thin">
        <color rgb="FFDCE6F1"/>
      </right>
      <top style="thin">
        <color rgb="FFDCE6F1"/>
      </top>
      <bottom style="thin">
        <color rgb="FFDCE6F1"/>
      </bottom>
      <diagonal/>
    </border>
    <border>
      <left style="thin">
        <color rgb="FFDCE6F1"/>
      </left>
      <right/>
      <top style="thin">
        <color rgb="FFDCE6F1"/>
      </top>
      <bottom style="thin">
        <color rgb="FFDCE6F1"/>
      </bottom>
      <diagonal/>
    </border>
    <border>
      <left/>
      <right style="thin">
        <color rgb="FFDCE6F1"/>
      </right>
      <top style="thin">
        <color rgb="FFDCE6F1"/>
      </top>
      <bottom/>
      <diagonal/>
    </border>
    <border>
      <left style="thin">
        <color rgb="FFDCE6F1"/>
      </left>
      <right style="thin">
        <color rgb="FFDCE6F1"/>
      </right>
      <top style="thin">
        <color rgb="FFDCE6F1"/>
      </top>
      <bottom/>
      <diagonal/>
    </border>
    <border>
      <left style="thin">
        <color rgb="FFDCE6F1"/>
      </left>
      <right/>
      <top style="thin">
        <color rgb="FFDCE6F1"/>
      </top>
      <bottom/>
      <diagonal/>
    </border>
    <border>
      <left style="thin">
        <color rgb="FFD6B656"/>
      </left>
      <right/>
      <top style="thin">
        <color rgb="FFD6B656"/>
      </top>
      <bottom style="thin">
        <color rgb="FFD6B656"/>
      </bottom>
      <diagonal/>
    </border>
    <border>
      <left/>
      <right/>
      <top style="thin">
        <color rgb="FFD6B656"/>
      </top>
      <bottom style="thin">
        <color rgb="FFD6B656"/>
      </bottom>
      <diagonal/>
    </border>
    <border>
      <left/>
      <right style="thin">
        <color rgb="FFD6B656"/>
      </right>
      <top style="thin">
        <color rgb="FFD6B656"/>
      </top>
      <bottom style="thin">
        <color rgb="FFD6B656"/>
      </bottom>
      <diagonal/>
    </border>
    <border>
      <left style="thin">
        <color rgb="FFB8C7D9"/>
      </left>
      <right style="thin">
        <color rgb="FFDCE6F1"/>
      </right>
      <top style="thin">
        <color rgb="FFB8C7D9"/>
      </top>
      <bottom style="thin">
        <color rgb="FFDCE6F1"/>
      </bottom>
      <diagonal/>
    </border>
    <border>
      <left style="thin">
        <color rgb="FFDCE6F1"/>
      </left>
      <right/>
      <top style="thin">
        <color rgb="FFB8C7D9"/>
      </top>
      <bottom style="thin">
        <color rgb="FFDCE6F1"/>
      </bottom>
      <diagonal/>
    </border>
    <border>
      <left style="thin">
        <color rgb="FFB8C7D9"/>
      </left>
      <right style="thin">
        <color rgb="FFDCE6F1"/>
      </right>
      <top style="thin">
        <color rgb="FFDCE6F1"/>
      </top>
      <bottom style="thin">
        <color rgb="FFDCE6F1"/>
      </bottom>
      <diagonal/>
    </border>
    <border>
      <left style="thin">
        <color rgb="FFB8C7D9"/>
      </left>
      <right style="thin">
        <color rgb="FFDCE6F1"/>
      </right>
      <top style="thin">
        <color rgb="FFDCE6F1"/>
      </top>
      <bottom style="thin">
        <color rgb="FFB8C7D9"/>
      </bottom>
      <diagonal/>
    </border>
    <border>
      <left style="thin">
        <color rgb="FFDCE6F1"/>
      </left>
      <right/>
      <top style="thin">
        <color rgb="FFDCE6F1"/>
      </top>
      <bottom style="thin">
        <color rgb="FFB8C7D9"/>
      </bottom>
      <diagonal/>
    </border>
    <border>
      <left style="thin">
        <color rgb="FFA9D18E"/>
      </left>
      <right style="thin">
        <color rgb="FFA9D18E"/>
      </right>
      <top style="thin">
        <color rgb="FFA9D18E"/>
      </top>
      <bottom style="thin">
        <color rgb="FFDCE6F1"/>
      </bottom>
      <diagonal/>
    </border>
    <border>
      <left style="thin">
        <color rgb="FFA9D18E"/>
      </left>
      <right style="thin">
        <color rgb="FFA9D18E"/>
      </right>
      <top style="thin">
        <color rgb="FFDCE6F1"/>
      </top>
      <bottom style="thin">
        <color rgb="FFDCE6F1"/>
      </bottom>
      <diagonal/>
    </border>
    <border>
      <left style="thin">
        <color rgb="FFA9D18E"/>
      </left>
      <right style="thin">
        <color rgb="FFA9D18E"/>
      </right>
      <top style="thin">
        <color rgb="FFDCE6F1"/>
      </top>
      <bottom style="thin">
        <color rgb="FFA9D18E"/>
      </bottom>
      <diagonal/>
    </border>
    <border>
      <left style="thin">
        <color rgb="FFDCE6F1"/>
      </left>
      <right style="thin">
        <color rgb="FFDCE6F1"/>
      </right>
      <top style="thin">
        <color theme="4" tint="0.39997558519241921"/>
      </top>
      <bottom style="thin">
        <color rgb="FFDCE6F1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3" fillId="4" borderId="1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vertical="top" wrapText="1"/>
    </xf>
    <xf numFmtId="0" fontId="4" fillId="0" borderId="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4" fillId="0" borderId="9" xfId="0" applyFont="1" applyBorder="1" applyAlignment="1">
      <alignment vertical="top" wrapText="1"/>
    </xf>
    <xf numFmtId="0" fontId="4" fillId="0" borderId="10" xfId="0" applyFont="1" applyBorder="1" applyAlignment="1">
      <alignment vertical="top" wrapText="1"/>
    </xf>
    <xf numFmtId="0" fontId="5" fillId="0" borderId="2" xfId="0" applyFont="1" applyBorder="1" applyAlignment="1">
      <alignment vertical="top" wrapText="1"/>
    </xf>
    <xf numFmtId="0" fontId="5" fillId="0" borderId="5" xfId="0" applyFont="1" applyBorder="1" applyAlignment="1">
      <alignment vertical="top" wrapText="1"/>
    </xf>
    <xf numFmtId="0" fontId="5" fillId="0" borderId="8" xfId="0" applyFont="1" applyBorder="1" applyAlignment="1">
      <alignment vertical="top" wrapText="1"/>
    </xf>
    <xf numFmtId="0" fontId="6" fillId="4" borderId="1" xfId="0" applyFont="1" applyFill="1" applyBorder="1" applyAlignment="1">
      <alignment horizontal="center" wrapText="1"/>
    </xf>
    <xf numFmtId="0" fontId="0" fillId="0" borderId="3" xfId="0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10" xfId="0" applyBorder="1" applyAlignment="1">
      <alignment vertical="top" wrapText="1"/>
    </xf>
    <xf numFmtId="0" fontId="7" fillId="0" borderId="2" xfId="0" applyFont="1" applyBorder="1" applyAlignment="1">
      <alignment vertical="top" wrapText="1"/>
    </xf>
    <xf numFmtId="0" fontId="7" fillId="0" borderId="5" xfId="0" applyFont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6" fillId="4" borderId="0" xfId="0" applyFont="1" applyFill="1" applyAlignment="1">
      <alignment wrapText="1"/>
    </xf>
    <xf numFmtId="0" fontId="0" fillId="0" borderId="3" xfId="0" applyBorder="1" applyAlignment="1">
      <alignment vertical="center" wrapText="1"/>
    </xf>
    <xf numFmtId="0" fontId="0" fillId="0" borderId="4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0" fillId="0" borderId="9" xfId="0" applyBorder="1" applyAlignment="1">
      <alignment vertical="center" wrapText="1"/>
    </xf>
    <xf numFmtId="0" fontId="0" fillId="0" borderId="10" xfId="0" applyBorder="1" applyAlignment="1">
      <alignment vertical="center" wrapText="1"/>
    </xf>
    <xf numFmtId="0" fontId="7" fillId="6" borderId="14" xfId="0" applyFont="1" applyFill="1" applyBorder="1" applyAlignment="1">
      <alignment vertical="center" wrapText="1"/>
    </xf>
    <xf numFmtId="0" fontId="7" fillId="6" borderId="15" xfId="0" applyFont="1" applyFill="1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17" xfId="0" applyBorder="1" applyAlignment="1">
      <alignment vertical="center" wrapText="1"/>
    </xf>
    <xf numFmtId="0" fontId="0" fillId="0" borderId="18" xfId="0" applyBorder="1" applyAlignment="1">
      <alignment vertical="center" wrapText="1"/>
    </xf>
    <xf numFmtId="0" fontId="9" fillId="7" borderId="19" xfId="0" applyFont="1" applyFill="1" applyBorder="1" applyAlignment="1">
      <alignment horizontal="center" vertical="center" wrapText="1"/>
    </xf>
    <xf numFmtId="0" fontId="9" fillId="7" borderId="20" xfId="0" applyFont="1" applyFill="1" applyBorder="1" applyAlignment="1">
      <alignment horizontal="center" vertical="center" wrapText="1"/>
    </xf>
    <xf numFmtId="0" fontId="9" fillId="7" borderId="21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8" xfId="0" applyFont="1" applyBorder="1" applyAlignment="1">
      <alignment vertical="center" wrapText="1"/>
    </xf>
    <xf numFmtId="0" fontId="10" fillId="8" borderId="22" xfId="0" applyFont="1" applyFill="1" applyBorder="1" applyAlignment="1">
      <alignment vertical="top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1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1" fillId="0" borderId="0" xfId="0" applyFont="1"/>
    <xf numFmtId="0" fontId="11" fillId="0" borderId="0" xfId="0" applyFont="1" applyAlignment="1">
      <alignment wrapText="1"/>
    </xf>
    <xf numFmtId="0" fontId="1" fillId="2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0" fontId="8" fillId="5" borderId="11" xfId="0" applyFont="1" applyFill="1" applyBorder="1" applyAlignment="1">
      <alignment vertical="center" wrapText="1"/>
    </xf>
    <xf numFmtId="0" fontId="8" fillId="5" borderId="12" xfId="0" applyFont="1" applyFill="1" applyBorder="1" applyAlignment="1">
      <alignment vertical="center" wrapText="1"/>
    </xf>
    <xf numFmtId="0" fontId="8" fillId="5" borderId="13" xfId="0" applyFont="1" applyFill="1" applyBorder="1" applyAlignment="1">
      <alignment vertical="center" wrapText="1"/>
    </xf>
  </cellXfs>
  <cellStyles count="1">
    <cellStyle name="Normal" xfId="0" builtinId="0"/>
  </cellStyles>
  <dxfs count="13">
    <dxf>
      <font>
        <color rgb="FF9C0006"/>
      </font>
      <fill>
        <patternFill patternType="solid">
          <bgColor rgb="FFFCE4D6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F2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CE6F1"/>
        </left>
        <right style="thin">
          <color rgb="FFDCE6F1"/>
        </right>
        <top style="thin">
          <color rgb="FFDCE6F1"/>
        </top>
        <bottom style="thin">
          <color rgb="FFDCE6F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CE6F1"/>
        </left>
        <right style="thin">
          <color rgb="FFDCE6F1"/>
        </right>
        <top style="thin">
          <color rgb="FFDCE6F1"/>
        </top>
        <bottom style="thin">
          <color rgb="FFDCE6F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CE6F1"/>
        </left>
        <right style="thin">
          <color rgb="FFDCE6F1"/>
        </right>
        <top style="thin">
          <color rgb="FFDCE6F1"/>
        </top>
        <bottom style="thin">
          <color rgb="FFDCE6F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CE6F1"/>
        </left>
        <right style="thin">
          <color rgb="FFDCE6F1"/>
        </right>
        <top style="thin">
          <color rgb="FFDCE6F1"/>
        </top>
        <bottom style="thin">
          <color rgb="FFDCE6F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CE6F1"/>
        </left>
        <right style="thin">
          <color rgb="FFDCE6F1"/>
        </right>
        <top style="thin">
          <color rgb="FFDCE6F1"/>
        </top>
        <bottom style="thin">
          <color rgb="FFDCE6F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CE6F1"/>
        </left>
        <right style="thin">
          <color rgb="FFDCE6F1"/>
        </right>
        <top style="thin">
          <color rgb="FFDCE6F1"/>
        </top>
        <bottom style="thin">
          <color rgb="FFDCE6F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CE6F1"/>
        </left>
        <right style="thin">
          <color rgb="FFDCE6F1"/>
        </right>
        <top style="thin">
          <color rgb="FFDCE6F1"/>
        </top>
        <bottom style="thin">
          <color rgb="FFDCE6F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Carlito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rgb="FFDCE6F1"/>
        </left>
        <right style="thin">
          <color rgb="FFDCE6F1"/>
        </right>
        <top style="thin">
          <color rgb="FFDCE6F1"/>
        </top>
        <bottom style="thin">
          <color rgb="FFDCE6F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GB"/>
              <a:t>Requirements by Priority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Summary!$D$11:$D$13</c:f>
              <c:strCache>
                <c:ptCount val="3"/>
                <c:pt idx="0">
                  <c:v>Must</c:v>
                </c:pt>
                <c:pt idx="1">
                  <c:v>Should</c:v>
                </c:pt>
                <c:pt idx="2">
                  <c:v>Could</c:v>
                </c:pt>
              </c:strCache>
            </c:strRef>
          </c:cat>
          <c:val>
            <c:numRef>
              <c:f>Summary!$E$11:$E$13</c:f>
              <c:numCache>
                <c:formatCode>General</c:formatCode>
                <c:ptCount val="3"/>
                <c:pt idx="0">
                  <c:v>40</c:v>
                </c:pt>
                <c:pt idx="1">
                  <c:v>15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E-4173-A57B-3375828CB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1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15</xdr:row>
      <xdr:rowOff>0</xdr:rowOff>
    </xdr:from>
    <xdr:to>
      <xdr:col>10</xdr:col>
      <xdr:colOff>0</xdr:colOff>
      <xdr:row>31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TMTable" displayName="RTMTable" ref="B4:Z60" totalsRowShown="0">
  <autoFilter ref="B4:Z60" xr:uid="{00000000-000C-0000-FFFF-FFFF00000000}"/>
  <tableColumns count="25">
    <tableColumn id="1" xr3:uid="{00000000-0010-0000-0000-000001000000}" name="Requirement ID"/>
    <tableColumn id="2" xr3:uid="{00000000-0010-0000-0000-000002000000}" name="Type"/>
    <tableColumn id="3" xr3:uid="{00000000-0010-0000-0000-000003000000}" name="Requirement / Title"/>
    <tableColumn id="4" xr3:uid="{00000000-0010-0000-0000-000004000000}" name="Priority"/>
    <tableColumn id="5" xr3:uid="{00000000-0010-0000-0000-000005000000}" name="Business Owner"/>
    <tableColumn id="6" xr3:uid="{00000000-0010-0000-0000-000006000000}" name="DF"/>
    <tableColumn id="7" xr3:uid="{00000000-0010-0000-0000-000007000000}" name="BD"/>
    <tableColumn id="8" xr3:uid="{00000000-0010-0000-0000-000008000000}" name="CAP (Primary)"/>
    <tableColumn id="23" xr3:uid="{C116EC89-8261-41A9-893A-12DFD9AC01D5}" name="CAP (Secondary)" dataDxfId="12"/>
    <tableColumn id="9" xr3:uid="{00000000-0010-0000-0000-000009000000}" name="BRD"/>
    <tableColumn id="20" xr3:uid="{D1E0B300-86BD-45A9-B3EB-8951F17E8029}" name="Primary AD" dataDxfId="11"/>
    <tableColumn id="22" xr3:uid="{701B3B8E-55FF-4520-83AD-295760593E66}" name="Key ADs" dataDxfId="10"/>
    <tableColumn id="21" xr3:uid="{1638868F-A11C-40F1-8FB2-2AB197E42B79}" name="Secondary Ads" dataDxfId="9"/>
    <tableColumn id="12" xr3:uid="{00000000-0010-0000-0000-00000C000000}" name="HLD (Primary)"/>
    <tableColumn id="24" xr3:uid="{599BD185-8391-4930-BB9A-B52E39596ACD}" name="HLD (Secondary)" dataDxfId="8"/>
    <tableColumn id="13" xr3:uid="{00000000-0010-0000-0000-00000D000000}" name="LLD (Primary)"/>
    <tableColumn id="10" xr3:uid="{D9149C79-EC24-41C1-B36D-CD2D9225FFA3}" name="LLD (Secondary)" dataDxfId="7"/>
    <tableColumn id="14" xr3:uid="{00000000-0010-0000-0000-00000E000000}" name="ADR"/>
    <tableColumn id="25" xr3:uid="{28378BB4-B208-482C-96C2-5A1994DECC42}" name="SOW" dataDxfId="6"/>
    <tableColumn id="26" xr3:uid="{BAEC8EC4-D90B-4FBA-979D-21CDBE3C330A}" name="Sprint" dataDxfId="5"/>
    <tableColumn id="15" xr3:uid="{00000000-0010-0000-0000-00000F000000}" name="Test / UAT"/>
    <tableColumn id="16" xr3:uid="{00000000-0010-0000-0000-000010000000}" name="Acceptance Criteria"/>
    <tableColumn id="17" xr3:uid="{00000000-0010-0000-0000-000011000000}" name="Status"/>
    <tableColumn id="18" xr3:uid="{00000000-0010-0000-0000-000012000000}" name="Owner"/>
    <tableColumn id="19" xr3:uid="{00000000-0010-0000-0000-000013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"/>
  <sheetViews>
    <sheetView showGridLines="0" workbookViewId="0">
      <selection activeCell="G11" sqref="G11"/>
    </sheetView>
  </sheetViews>
  <sheetFormatPr defaultRowHeight="14.25"/>
  <cols>
    <col min="1" max="1" width="28" customWidth="1"/>
    <col min="2" max="2" width="16" customWidth="1"/>
    <col min="3" max="3" width="48" customWidth="1"/>
    <col min="4" max="4" width="22" customWidth="1"/>
    <col min="5" max="5" width="16" customWidth="1"/>
    <col min="6" max="6" width="4" customWidth="1"/>
    <col min="7" max="7" width="27" customWidth="1"/>
    <col min="8" max="8" width="16" customWidth="1"/>
    <col min="9" max="10" width="4" customWidth="1"/>
  </cols>
  <sheetData>
    <row r="1" spans="1:10" ht="27.95" customHeight="1">
      <c r="A1" s="46" t="s">
        <v>0</v>
      </c>
      <c r="B1" s="46"/>
      <c r="C1" s="46"/>
      <c r="D1" s="46"/>
      <c r="E1" s="46"/>
      <c r="F1" s="46"/>
      <c r="G1" s="46"/>
      <c r="H1" s="46"/>
      <c r="I1" s="46"/>
      <c r="J1" s="46"/>
    </row>
    <row r="2" spans="1:10" ht="21" customHeight="1">
      <c r="A2" s="47" t="s">
        <v>1</v>
      </c>
      <c r="B2" s="47"/>
      <c r="C2" s="47"/>
      <c r="D2" s="47"/>
      <c r="E2" s="47"/>
      <c r="F2" s="47"/>
      <c r="G2" s="47"/>
      <c r="H2" s="47"/>
      <c r="I2" s="47"/>
      <c r="J2" s="47"/>
    </row>
    <row r="4" spans="1:10" ht="15">
      <c r="A4" s="21" t="s">
        <v>2</v>
      </c>
      <c r="B4" s="21" t="s">
        <v>3</v>
      </c>
      <c r="C4" s="21" t="s">
        <v>4</v>
      </c>
      <c r="D4" s="21" t="s">
        <v>5</v>
      </c>
    </row>
    <row r="5" spans="1:10" ht="26.1" customHeight="1">
      <c r="A5" s="36" t="s">
        <v>6</v>
      </c>
      <c r="B5" s="33">
        <f>COUNTA(RTM!$B$5:$B$60)</f>
        <v>56</v>
      </c>
      <c r="C5" s="22" t="s">
        <v>7</v>
      </c>
      <c r="D5" s="23" t="s">
        <v>8</v>
      </c>
    </row>
    <row r="6" spans="1:10" ht="26.1" customHeight="1">
      <c r="A6" s="37" t="s">
        <v>9</v>
      </c>
      <c r="B6" s="34">
        <f>COUNTIF(RTM!$C$5:$C$60,"Functional")</f>
        <v>38</v>
      </c>
      <c r="C6" s="24" t="s">
        <v>10</v>
      </c>
      <c r="D6" s="25" t="s">
        <v>11</v>
      </c>
    </row>
    <row r="7" spans="1:10" ht="26.1" customHeight="1">
      <c r="A7" s="37" t="s">
        <v>12</v>
      </c>
      <c r="B7" s="35">
        <f>COUNTIF(RTM!$C$5:$C$60,"Non-Functional")</f>
        <v>18</v>
      </c>
      <c r="C7" s="24" t="s">
        <v>13</v>
      </c>
      <c r="D7" s="25" t="s">
        <v>14</v>
      </c>
    </row>
    <row r="8" spans="1:10" ht="28.5">
      <c r="A8" s="38" t="s">
        <v>15</v>
      </c>
      <c r="B8" s="26" t="s">
        <v>16</v>
      </c>
      <c r="C8" s="26" t="s">
        <v>17</v>
      </c>
      <c r="D8" s="27" t="s">
        <v>18</v>
      </c>
    </row>
    <row r="10" spans="1:10" ht="15">
      <c r="A10" s="28" t="s">
        <v>19</v>
      </c>
      <c r="B10" s="29" t="s">
        <v>20</v>
      </c>
      <c r="D10" s="28" t="s">
        <v>21</v>
      </c>
      <c r="E10" s="29" t="s">
        <v>20</v>
      </c>
      <c r="G10" s="28" t="s">
        <v>22</v>
      </c>
      <c r="H10" s="29" t="s">
        <v>20</v>
      </c>
    </row>
    <row r="11" spans="1:10">
      <c r="A11" s="30" t="s">
        <v>23</v>
      </c>
      <c r="B11" s="25">
        <f>COUNTIF(RTM!$C$5:$C$60,A11)</f>
        <v>38</v>
      </c>
      <c r="D11" s="30" t="s">
        <v>24</v>
      </c>
      <c r="E11" s="25">
        <f>COUNTIF(RTM!$E$5:$E$60,D11)</f>
        <v>40</v>
      </c>
      <c r="G11" s="30" t="s">
        <v>25</v>
      </c>
      <c r="H11" s="25">
        <f>COUNTIF(RTM!$H$5:$H$60,G11)</f>
        <v>23</v>
      </c>
    </row>
    <row r="12" spans="1:10">
      <c r="A12" s="31" t="s">
        <v>26</v>
      </c>
      <c r="B12" s="32">
        <f>COUNTIF(RTM!$C$5:$C$60,A12)</f>
        <v>18</v>
      </c>
      <c r="D12" s="30" t="s">
        <v>27</v>
      </c>
      <c r="E12" s="25">
        <f>COUNTIF(RTM!$E$5:$E$60,D12)</f>
        <v>15</v>
      </c>
      <c r="G12" s="30" t="s">
        <v>28</v>
      </c>
      <c r="H12" s="25">
        <f>COUNTIF(RTM!$H$5:$H$60,G12)</f>
        <v>27</v>
      </c>
    </row>
    <row r="13" spans="1:10">
      <c r="D13" s="31" t="s">
        <v>29</v>
      </c>
      <c r="E13" s="32">
        <f>COUNTIF(RTM!$E$5:$E$60,D13)</f>
        <v>1</v>
      </c>
      <c r="G13" s="31" t="s">
        <v>30</v>
      </c>
      <c r="H13" s="32">
        <f>COUNTIF(RTM!$H$5:$H$60,G13)</f>
        <v>6</v>
      </c>
    </row>
    <row r="15" spans="1:10" ht="15">
      <c r="A15" s="28" t="s">
        <v>31</v>
      </c>
      <c r="B15" s="29" t="s">
        <v>20</v>
      </c>
    </row>
    <row r="16" spans="1:10">
      <c r="A16" s="31" t="s">
        <v>16</v>
      </c>
      <c r="B16" s="32">
        <f>COUNTIF(RTM!$X$5:$X$60,A16)</f>
        <v>56</v>
      </c>
    </row>
  </sheetData>
  <mergeCells count="2">
    <mergeCell ref="A1:J1"/>
    <mergeCell ref="A2:J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0"/>
  <sheetViews>
    <sheetView showGridLines="0" tabSelected="1" topLeftCell="A4" zoomScale="90" zoomScaleNormal="90" workbookViewId="0">
      <pane ySplit="1" topLeftCell="A5" activePane="bottomLeft" state="frozen"/>
      <selection activeCell="A4" sqref="A4"/>
      <selection pane="bottomLeft" activeCell="B4" sqref="B4"/>
    </sheetView>
  </sheetViews>
  <sheetFormatPr defaultRowHeight="14.25"/>
  <cols>
    <col min="1" max="1" width="14.625" hidden="1" customWidth="1"/>
    <col min="2" max="2" width="13.375" bestFit="1" customWidth="1"/>
    <col min="3" max="3" width="11.375" bestFit="1" customWidth="1"/>
    <col min="4" max="4" width="48" customWidth="1"/>
    <col min="5" max="5" width="6.625" bestFit="1" customWidth="1"/>
    <col min="6" max="6" width="15" bestFit="1" customWidth="1"/>
    <col min="7" max="7" width="3.875" bestFit="1" customWidth="1"/>
    <col min="8" max="8" width="6.125" bestFit="1" customWidth="1"/>
    <col min="9" max="9" width="9.25" customWidth="1"/>
    <col min="10" max="10" width="13.125" customWidth="1"/>
    <col min="11" max="11" width="14" bestFit="1" customWidth="1"/>
    <col min="12" max="12" width="14.375" bestFit="1" customWidth="1"/>
    <col min="13" max="13" width="19.875" bestFit="1" customWidth="1"/>
    <col min="14" max="14" width="15.625" bestFit="1" customWidth="1"/>
    <col min="15" max="15" width="11.5" bestFit="1" customWidth="1"/>
    <col min="16" max="16" width="26.375" customWidth="1"/>
    <col min="17" max="17" width="11.5" bestFit="1" customWidth="1"/>
    <col min="18" max="18" width="11.5" customWidth="1"/>
    <col min="19" max="19" width="11.5" bestFit="1" customWidth="1"/>
    <col min="20" max="21" width="11.5" customWidth="1"/>
    <col min="22" max="22" width="11.5" bestFit="1" customWidth="1"/>
    <col min="23" max="23" width="42" customWidth="1"/>
    <col min="24" max="24" width="19.625" bestFit="1" customWidth="1"/>
    <col min="25" max="25" width="25" bestFit="1" customWidth="1"/>
    <col min="26" max="26" width="54" customWidth="1"/>
  </cols>
  <sheetData>
    <row r="1" spans="1:26" ht="27.95" customHeight="1">
      <c r="B1" s="46" t="s">
        <v>32</v>
      </c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ht="21" customHeight="1">
      <c r="B2" s="47" t="s">
        <v>33</v>
      </c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  <c r="O2" s="47"/>
      <c r="P2" s="47"/>
      <c r="Q2" s="47"/>
      <c r="R2" s="47"/>
      <c r="S2" s="47"/>
      <c r="T2" s="47"/>
      <c r="U2" s="47"/>
      <c r="V2" s="47"/>
      <c r="W2" s="47"/>
      <c r="X2" s="47"/>
      <c r="Y2" s="47"/>
      <c r="Z2" s="47"/>
    </row>
    <row r="4" spans="1:26" ht="33" customHeight="1">
      <c r="A4" s="1" t="s">
        <v>387</v>
      </c>
      <c r="B4" s="1" t="s">
        <v>34</v>
      </c>
      <c r="C4" s="1" t="s">
        <v>35</v>
      </c>
      <c r="D4" s="1" t="s">
        <v>36</v>
      </c>
      <c r="E4" s="1" t="s">
        <v>37</v>
      </c>
      <c r="F4" s="1" t="s">
        <v>38</v>
      </c>
      <c r="G4" s="1" t="s">
        <v>39</v>
      </c>
      <c r="H4" s="1" t="s">
        <v>40</v>
      </c>
      <c r="I4" s="1" t="s">
        <v>610</v>
      </c>
      <c r="J4" s="1" t="s">
        <v>611</v>
      </c>
      <c r="K4" s="1" t="s">
        <v>42</v>
      </c>
      <c r="L4" s="1" t="s">
        <v>440</v>
      </c>
      <c r="M4" s="1" t="s">
        <v>444</v>
      </c>
      <c r="N4" s="1" t="s">
        <v>441</v>
      </c>
      <c r="O4" s="1" t="s">
        <v>623</v>
      </c>
      <c r="P4" s="1" t="s">
        <v>624</v>
      </c>
      <c r="Q4" s="1" t="s">
        <v>664</v>
      </c>
      <c r="R4" s="1" t="s">
        <v>665</v>
      </c>
      <c r="S4" s="1" t="s">
        <v>47</v>
      </c>
      <c r="T4" s="1" t="s">
        <v>43</v>
      </c>
      <c r="U4" s="1" t="s">
        <v>44</v>
      </c>
      <c r="V4" s="1" t="s">
        <v>48</v>
      </c>
      <c r="W4" s="1" t="s">
        <v>49</v>
      </c>
      <c r="X4" s="1" t="s">
        <v>50</v>
      </c>
      <c r="Y4" s="1" t="s">
        <v>51</v>
      </c>
      <c r="Z4" s="1" t="s">
        <v>52</v>
      </c>
    </row>
    <row r="5" spans="1:26" ht="51.95" customHeight="1">
      <c r="A5" s="39" t="s">
        <v>57</v>
      </c>
      <c r="B5" s="8" t="s">
        <v>53</v>
      </c>
      <c r="C5" s="2" t="s">
        <v>23</v>
      </c>
      <c r="D5" s="2" t="s">
        <v>54</v>
      </c>
      <c r="E5" s="2" t="s">
        <v>24</v>
      </c>
      <c r="F5" s="2" t="s">
        <v>55</v>
      </c>
      <c r="G5" s="2" t="s">
        <v>56</v>
      </c>
      <c r="H5" s="2" t="s">
        <v>28</v>
      </c>
      <c r="I5" s="2" t="s">
        <v>609</v>
      </c>
      <c r="J5" s="2"/>
      <c r="K5" s="2" t="s">
        <v>331</v>
      </c>
      <c r="L5" s="2" t="s">
        <v>436</v>
      </c>
      <c r="M5" s="2" t="s">
        <v>442</v>
      </c>
      <c r="N5" s="2" t="s">
        <v>443</v>
      </c>
      <c r="O5" s="2" t="s">
        <v>620</v>
      </c>
      <c r="P5" s="2"/>
      <c r="Q5" s="2" t="s">
        <v>57</v>
      </c>
      <c r="R5" s="2"/>
      <c r="S5" s="2" t="s">
        <v>57</v>
      </c>
      <c r="T5" s="2"/>
      <c r="U5" s="2"/>
      <c r="V5" s="2" t="s">
        <v>57</v>
      </c>
      <c r="W5" s="2" t="s">
        <v>58</v>
      </c>
      <c r="X5" s="2" t="s">
        <v>16</v>
      </c>
      <c r="Y5" s="2" t="s">
        <v>59</v>
      </c>
      <c r="Z5" s="3" t="s">
        <v>60</v>
      </c>
    </row>
    <row r="6" spans="1:26" ht="51.95" customHeight="1">
      <c r="A6" s="39" t="s">
        <v>57</v>
      </c>
      <c r="B6" s="9" t="s">
        <v>61</v>
      </c>
      <c r="C6" s="4" t="s">
        <v>23</v>
      </c>
      <c r="D6" s="4" t="s">
        <v>62</v>
      </c>
      <c r="E6" s="4" t="s">
        <v>24</v>
      </c>
      <c r="F6" s="4" t="s">
        <v>63</v>
      </c>
      <c r="G6" s="4" t="s">
        <v>56</v>
      </c>
      <c r="H6" s="4" t="s">
        <v>25</v>
      </c>
      <c r="I6" s="4" t="s">
        <v>552</v>
      </c>
      <c r="J6" s="4"/>
      <c r="K6" s="4" t="s">
        <v>332</v>
      </c>
      <c r="L6" s="4" t="s">
        <v>400</v>
      </c>
      <c r="M6" s="2" t="s">
        <v>445</v>
      </c>
      <c r="N6" s="2" t="s">
        <v>446</v>
      </c>
      <c r="O6" s="4" t="s">
        <v>621</v>
      </c>
      <c r="P6" s="4"/>
      <c r="Q6" s="4" t="s">
        <v>57</v>
      </c>
      <c r="R6" s="4"/>
      <c r="S6" s="4" t="s">
        <v>57</v>
      </c>
      <c r="T6" s="4"/>
      <c r="U6" s="4"/>
      <c r="V6" s="4" t="s">
        <v>57</v>
      </c>
      <c r="W6" s="4" t="s">
        <v>64</v>
      </c>
      <c r="X6" s="4" t="s">
        <v>16</v>
      </c>
      <c r="Y6" s="4" t="s">
        <v>59</v>
      </c>
      <c r="Z6" s="5" t="s">
        <v>65</v>
      </c>
    </row>
    <row r="7" spans="1:26" ht="51.95" customHeight="1">
      <c r="A7" s="39" t="s">
        <v>57</v>
      </c>
      <c r="B7" s="9" t="s">
        <v>66</v>
      </c>
      <c r="C7" s="4" t="s">
        <v>23</v>
      </c>
      <c r="D7" s="4" t="s">
        <v>67</v>
      </c>
      <c r="E7" s="4" t="s">
        <v>24</v>
      </c>
      <c r="F7" s="4" t="s">
        <v>68</v>
      </c>
      <c r="G7" s="4" t="s">
        <v>56</v>
      </c>
      <c r="H7" s="4" t="s">
        <v>25</v>
      </c>
      <c r="I7" s="4" t="s">
        <v>552</v>
      </c>
      <c r="J7" s="4"/>
      <c r="K7" s="4" t="s">
        <v>333</v>
      </c>
      <c r="L7" s="4" t="s">
        <v>428</v>
      </c>
      <c r="M7" s="4" t="s">
        <v>447</v>
      </c>
      <c r="N7" s="4" t="s">
        <v>448</v>
      </c>
      <c r="O7" s="4" t="s">
        <v>621</v>
      </c>
      <c r="P7" s="4"/>
      <c r="Q7" s="4" t="s">
        <v>57</v>
      </c>
      <c r="R7" s="4"/>
      <c r="S7" s="4" t="s">
        <v>57</v>
      </c>
      <c r="T7" s="4"/>
      <c r="U7" s="4"/>
      <c r="V7" s="4" t="s">
        <v>57</v>
      </c>
      <c r="W7" s="4" t="s">
        <v>69</v>
      </c>
      <c r="X7" s="4" t="s">
        <v>16</v>
      </c>
      <c r="Y7" s="4" t="s">
        <v>59</v>
      </c>
      <c r="Z7" s="5" t="s">
        <v>70</v>
      </c>
    </row>
    <row r="8" spans="1:26" ht="51.95" customHeight="1">
      <c r="A8" s="39" t="s">
        <v>57</v>
      </c>
      <c r="B8" s="9" t="s">
        <v>71</v>
      </c>
      <c r="C8" s="4" t="s">
        <v>23</v>
      </c>
      <c r="D8" s="4" t="s">
        <v>72</v>
      </c>
      <c r="E8" s="4" t="s">
        <v>24</v>
      </c>
      <c r="F8" s="4" t="s">
        <v>68</v>
      </c>
      <c r="G8" s="4" t="s">
        <v>56</v>
      </c>
      <c r="H8" s="4" t="s">
        <v>25</v>
      </c>
      <c r="I8" s="4" t="s">
        <v>555</v>
      </c>
      <c r="J8" s="4" t="s">
        <v>552</v>
      </c>
      <c r="K8" s="4" t="s">
        <v>334</v>
      </c>
      <c r="L8" s="4" t="s">
        <v>428</v>
      </c>
      <c r="M8" s="4" t="s">
        <v>449</v>
      </c>
      <c r="N8" s="4" t="s">
        <v>448</v>
      </c>
      <c r="O8" s="4" t="s">
        <v>621</v>
      </c>
      <c r="P8" s="4"/>
      <c r="Q8" s="4" t="s">
        <v>57</v>
      </c>
      <c r="R8" s="4"/>
      <c r="S8" s="4" t="s">
        <v>57</v>
      </c>
      <c r="T8" s="4"/>
      <c r="U8" s="4"/>
      <c r="V8" s="4" t="s">
        <v>57</v>
      </c>
      <c r="W8" s="4" t="s">
        <v>73</v>
      </c>
      <c r="X8" s="4" t="s">
        <v>16</v>
      </c>
      <c r="Y8" s="4" t="s">
        <v>59</v>
      </c>
      <c r="Z8" s="5" t="s">
        <v>74</v>
      </c>
    </row>
    <row r="9" spans="1:26" ht="51.95" customHeight="1">
      <c r="A9" s="39" t="s">
        <v>57</v>
      </c>
      <c r="B9" s="9" t="s">
        <v>75</v>
      </c>
      <c r="C9" s="4" t="s">
        <v>23</v>
      </c>
      <c r="D9" s="4" t="s">
        <v>76</v>
      </c>
      <c r="E9" s="4" t="s">
        <v>24</v>
      </c>
      <c r="F9" s="4" t="s">
        <v>63</v>
      </c>
      <c r="G9" s="4" t="s">
        <v>56</v>
      </c>
      <c r="H9" s="4" t="s">
        <v>28</v>
      </c>
      <c r="I9" s="4" t="s">
        <v>552</v>
      </c>
      <c r="J9" s="4"/>
      <c r="K9" s="4" t="s">
        <v>335</v>
      </c>
      <c r="L9" s="4" t="s">
        <v>400</v>
      </c>
      <c r="M9" s="4" t="s">
        <v>450</v>
      </c>
      <c r="N9" s="4" t="s">
        <v>451</v>
      </c>
      <c r="O9" s="4" t="s">
        <v>621</v>
      </c>
      <c r="P9" s="4"/>
      <c r="Q9" s="4" t="s">
        <v>57</v>
      </c>
      <c r="R9" s="4"/>
      <c r="S9" s="4" t="s">
        <v>57</v>
      </c>
      <c r="T9" s="4"/>
      <c r="U9" s="4"/>
      <c r="V9" s="4" t="s">
        <v>57</v>
      </c>
      <c r="W9" s="4" t="s">
        <v>77</v>
      </c>
      <c r="X9" s="4" t="s">
        <v>16</v>
      </c>
      <c r="Y9" s="4" t="s">
        <v>59</v>
      </c>
      <c r="Z9" s="5" t="s">
        <v>78</v>
      </c>
    </row>
    <row r="10" spans="1:26" ht="51.95" customHeight="1">
      <c r="A10" s="39" t="s">
        <v>57</v>
      </c>
      <c r="B10" s="9" t="s">
        <v>79</v>
      </c>
      <c r="C10" s="4" t="s">
        <v>23</v>
      </c>
      <c r="D10" s="4" t="s">
        <v>80</v>
      </c>
      <c r="E10" s="4" t="s">
        <v>24</v>
      </c>
      <c r="F10" s="4" t="s">
        <v>81</v>
      </c>
      <c r="G10" s="4" t="s">
        <v>56</v>
      </c>
      <c r="H10" s="4" t="s">
        <v>25</v>
      </c>
      <c r="I10" s="4" t="s">
        <v>558</v>
      </c>
      <c r="J10" s="4" t="s">
        <v>600</v>
      </c>
      <c r="K10" s="4" t="s">
        <v>336</v>
      </c>
      <c r="L10" s="4" t="s">
        <v>408</v>
      </c>
      <c r="M10" s="4" t="s">
        <v>452</v>
      </c>
      <c r="N10" s="4" t="s">
        <v>453</v>
      </c>
      <c r="O10" s="4" t="s">
        <v>622</v>
      </c>
      <c r="P10" s="4" t="s">
        <v>625</v>
      </c>
      <c r="Q10" s="4" t="s">
        <v>57</v>
      </c>
      <c r="R10" s="4"/>
      <c r="S10" s="4" t="s">
        <v>57</v>
      </c>
      <c r="T10" s="4"/>
      <c r="U10" s="4"/>
      <c r="V10" s="4" t="s">
        <v>57</v>
      </c>
      <c r="W10" s="4" t="s">
        <v>82</v>
      </c>
      <c r="X10" s="4" t="s">
        <v>16</v>
      </c>
      <c r="Y10" s="4" t="s">
        <v>59</v>
      </c>
      <c r="Z10" s="5" t="s">
        <v>83</v>
      </c>
    </row>
    <row r="11" spans="1:26" ht="51.95" customHeight="1">
      <c r="A11" s="39" t="s">
        <v>57</v>
      </c>
      <c r="B11" s="9" t="s">
        <v>84</v>
      </c>
      <c r="C11" s="4" t="s">
        <v>23</v>
      </c>
      <c r="D11" s="4" t="s">
        <v>85</v>
      </c>
      <c r="E11" s="4" t="s">
        <v>27</v>
      </c>
      <c r="F11" s="4" t="s">
        <v>81</v>
      </c>
      <c r="G11" s="4" t="s">
        <v>56</v>
      </c>
      <c r="H11" s="4" t="s">
        <v>25</v>
      </c>
      <c r="I11" s="4" t="s">
        <v>558</v>
      </c>
      <c r="J11" s="4"/>
      <c r="K11" s="4" t="s">
        <v>337</v>
      </c>
      <c r="L11" s="4" t="s">
        <v>408</v>
      </c>
      <c r="M11" s="4" t="s">
        <v>454</v>
      </c>
      <c r="N11" s="4" t="s">
        <v>455</v>
      </c>
      <c r="O11" s="4" t="s">
        <v>622</v>
      </c>
      <c r="P11" s="4" t="s">
        <v>625</v>
      </c>
      <c r="Q11" s="4" t="s">
        <v>57</v>
      </c>
      <c r="R11" s="4"/>
      <c r="S11" s="4" t="s">
        <v>57</v>
      </c>
      <c r="T11" s="4"/>
      <c r="U11" s="4"/>
      <c r="V11" s="4" t="s">
        <v>57</v>
      </c>
      <c r="W11" s="4" t="s">
        <v>86</v>
      </c>
      <c r="X11" s="4" t="s">
        <v>16</v>
      </c>
      <c r="Y11" s="4" t="s">
        <v>59</v>
      </c>
      <c r="Z11" s="5" t="s">
        <v>87</v>
      </c>
    </row>
    <row r="12" spans="1:26" ht="51.95" customHeight="1">
      <c r="A12" s="39" t="s">
        <v>57</v>
      </c>
      <c r="B12" s="9" t="s">
        <v>88</v>
      </c>
      <c r="C12" s="4" t="s">
        <v>23</v>
      </c>
      <c r="D12" s="4" t="s">
        <v>89</v>
      </c>
      <c r="E12" s="4" t="s">
        <v>24</v>
      </c>
      <c r="F12" s="4" t="s">
        <v>90</v>
      </c>
      <c r="G12" s="4" t="s">
        <v>56</v>
      </c>
      <c r="H12" s="4" t="s">
        <v>28</v>
      </c>
      <c r="I12" s="4" t="s">
        <v>558</v>
      </c>
      <c r="J12" s="4" t="s">
        <v>552</v>
      </c>
      <c r="K12" s="4" t="s">
        <v>338</v>
      </c>
      <c r="L12" s="4" t="s">
        <v>420</v>
      </c>
      <c r="M12" s="4" t="s">
        <v>456</v>
      </c>
      <c r="N12" s="4" t="s">
        <v>455</v>
      </c>
      <c r="O12" s="4" t="s">
        <v>622</v>
      </c>
      <c r="P12" s="4" t="s">
        <v>626</v>
      </c>
      <c r="Q12" s="4" t="s">
        <v>57</v>
      </c>
      <c r="R12" s="4"/>
      <c r="S12" s="4" t="s">
        <v>57</v>
      </c>
      <c r="T12" s="4"/>
      <c r="U12" s="4"/>
      <c r="V12" s="4" t="s">
        <v>57</v>
      </c>
      <c r="W12" s="4" t="s">
        <v>91</v>
      </c>
      <c r="X12" s="4" t="s">
        <v>16</v>
      </c>
      <c r="Y12" s="4" t="s">
        <v>59</v>
      </c>
      <c r="Z12" s="5" t="s">
        <v>92</v>
      </c>
    </row>
    <row r="13" spans="1:26" ht="51.95" customHeight="1">
      <c r="A13" s="39" t="s">
        <v>57</v>
      </c>
      <c r="B13" s="9" t="s">
        <v>93</v>
      </c>
      <c r="C13" s="4" t="s">
        <v>23</v>
      </c>
      <c r="D13" s="4" t="s">
        <v>94</v>
      </c>
      <c r="E13" s="4" t="s">
        <v>24</v>
      </c>
      <c r="F13" s="4" t="s">
        <v>63</v>
      </c>
      <c r="G13" s="4" t="s">
        <v>56</v>
      </c>
      <c r="H13" s="4" t="s">
        <v>28</v>
      </c>
      <c r="I13" s="4" t="s">
        <v>552</v>
      </c>
      <c r="J13" s="4" t="s">
        <v>612</v>
      </c>
      <c r="K13" s="4" t="s">
        <v>339</v>
      </c>
      <c r="L13" s="4" t="s">
        <v>420</v>
      </c>
      <c r="M13" s="4" t="s">
        <v>457</v>
      </c>
      <c r="N13" s="4" t="s">
        <v>458</v>
      </c>
      <c r="O13" s="4" t="s">
        <v>622</v>
      </c>
      <c r="P13" s="4" t="s">
        <v>627</v>
      </c>
      <c r="Q13" s="4" t="s">
        <v>57</v>
      </c>
      <c r="R13" s="4"/>
      <c r="S13" s="4" t="s">
        <v>57</v>
      </c>
      <c r="T13" s="4"/>
      <c r="U13" s="4"/>
      <c r="V13" s="4" t="s">
        <v>57</v>
      </c>
      <c r="W13" s="4" t="s">
        <v>95</v>
      </c>
      <c r="X13" s="4" t="s">
        <v>16</v>
      </c>
      <c r="Y13" s="4" t="s">
        <v>59</v>
      </c>
      <c r="Z13" s="5" t="s">
        <v>96</v>
      </c>
    </row>
    <row r="14" spans="1:26" ht="51.95" customHeight="1">
      <c r="A14" s="39" t="s">
        <v>57</v>
      </c>
      <c r="B14" s="9" t="s">
        <v>97</v>
      </c>
      <c r="C14" s="4" t="s">
        <v>23</v>
      </c>
      <c r="D14" s="4" t="s">
        <v>98</v>
      </c>
      <c r="E14" s="4" t="s">
        <v>24</v>
      </c>
      <c r="F14" s="4" t="s">
        <v>63</v>
      </c>
      <c r="G14" s="4" t="s">
        <v>56</v>
      </c>
      <c r="H14" s="4" t="s">
        <v>28</v>
      </c>
      <c r="I14" s="4" t="s">
        <v>564</v>
      </c>
      <c r="J14" s="4"/>
      <c r="K14" s="4" t="s">
        <v>340</v>
      </c>
      <c r="L14" s="4" t="s">
        <v>424</v>
      </c>
      <c r="M14" s="4" t="s">
        <v>416</v>
      </c>
      <c r="N14" s="4" t="s">
        <v>432</v>
      </c>
      <c r="O14" s="4" t="s">
        <v>628</v>
      </c>
      <c r="P14" s="4"/>
      <c r="Q14" s="4" t="s">
        <v>666</v>
      </c>
      <c r="R14" s="4" t="s">
        <v>663</v>
      </c>
      <c r="S14" s="4" t="s">
        <v>57</v>
      </c>
      <c r="T14" s="4"/>
      <c r="U14" s="4"/>
      <c r="V14" s="4" t="s">
        <v>57</v>
      </c>
      <c r="W14" s="4" t="s">
        <v>99</v>
      </c>
      <c r="X14" s="4" t="s">
        <v>16</v>
      </c>
      <c r="Y14" s="4" t="s">
        <v>59</v>
      </c>
      <c r="Z14" s="5" t="s">
        <v>100</v>
      </c>
    </row>
    <row r="15" spans="1:26" ht="51.95" customHeight="1">
      <c r="A15" s="39" t="s">
        <v>57</v>
      </c>
      <c r="B15" s="9" t="s">
        <v>101</v>
      </c>
      <c r="C15" s="4" t="s">
        <v>23</v>
      </c>
      <c r="D15" s="4" t="s">
        <v>102</v>
      </c>
      <c r="E15" s="4" t="s">
        <v>24</v>
      </c>
      <c r="F15" s="4" t="s">
        <v>63</v>
      </c>
      <c r="G15" s="4" t="s">
        <v>56</v>
      </c>
      <c r="H15" s="4" t="s">
        <v>28</v>
      </c>
      <c r="I15" s="4" t="s">
        <v>567</v>
      </c>
      <c r="J15" s="4" t="s">
        <v>564</v>
      </c>
      <c r="K15" s="4" t="s">
        <v>341</v>
      </c>
      <c r="L15" s="4" t="s">
        <v>424</v>
      </c>
      <c r="M15" s="4" t="s">
        <v>459</v>
      </c>
      <c r="N15" s="4" t="s">
        <v>460</v>
      </c>
      <c r="O15" s="4" t="s">
        <v>629</v>
      </c>
      <c r="P15" s="4" t="s">
        <v>628</v>
      </c>
      <c r="Q15" s="4"/>
      <c r="R15" s="4" t="s">
        <v>663</v>
      </c>
      <c r="S15" s="4" t="s">
        <v>57</v>
      </c>
      <c r="T15" s="4"/>
      <c r="U15" s="4"/>
      <c r="V15" s="4" t="s">
        <v>57</v>
      </c>
      <c r="W15" s="4" t="s">
        <v>103</v>
      </c>
      <c r="X15" s="4" t="s">
        <v>16</v>
      </c>
      <c r="Y15" s="4" t="s">
        <v>59</v>
      </c>
      <c r="Z15" s="5" t="s">
        <v>104</v>
      </c>
    </row>
    <row r="16" spans="1:26" ht="51.95" customHeight="1">
      <c r="A16" s="39" t="s">
        <v>57</v>
      </c>
      <c r="B16" s="9" t="s">
        <v>105</v>
      </c>
      <c r="C16" s="4" t="s">
        <v>23</v>
      </c>
      <c r="D16" s="4" t="s">
        <v>106</v>
      </c>
      <c r="E16" s="4" t="s">
        <v>27</v>
      </c>
      <c r="F16" s="4" t="s">
        <v>63</v>
      </c>
      <c r="G16" s="4" t="s">
        <v>56</v>
      </c>
      <c r="H16" s="4" t="s">
        <v>28</v>
      </c>
      <c r="I16" s="4" t="s">
        <v>600</v>
      </c>
      <c r="J16" s="4" t="s">
        <v>613</v>
      </c>
      <c r="K16" s="4" t="s">
        <v>342</v>
      </c>
      <c r="L16" s="4" t="s">
        <v>420</v>
      </c>
      <c r="M16" s="4" t="s">
        <v>461</v>
      </c>
      <c r="N16" s="4" t="s">
        <v>462</v>
      </c>
      <c r="O16" s="4" t="s">
        <v>628</v>
      </c>
      <c r="P16" s="4" t="s">
        <v>630</v>
      </c>
      <c r="Q16" s="4" t="s">
        <v>57</v>
      </c>
      <c r="R16" s="4"/>
      <c r="S16" s="4" t="s">
        <v>57</v>
      </c>
      <c r="T16" s="4"/>
      <c r="U16" s="4"/>
      <c r="V16" s="4" t="s">
        <v>57</v>
      </c>
      <c r="W16" s="4" t="s">
        <v>107</v>
      </c>
      <c r="X16" s="4" t="s">
        <v>16</v>
      </c>
      <c r="Y16" s="4" t="s">
        <v>59</v>
      </c>
      <c r="Z16" s="5" t="s">
        <v>108</v>
      </c>
    </row>
    <row r="17" spans="1:26" ht="51.95" customHeight="1">
      <c r="A17" s="39" t="s">
        <v>57</v>
      </c>
      <c r="B17" s="9" t="s">
        <v>109</v>
      </c>
      <c r="C17" s="4" t="s">
        <v>23</v>
      </c>
      <c r="D17" s="4" t="s">
        <v>110</v>
      </c>
      <c r="E17" s="4" t="s">
        <v>24</v>
      </c>
      <c r="F17" s="4" t="s">
        <v>63</v>
      </c>
      <c r="G17" s="4" t="s">
        <v>56</v>
      </c>
      <c r="H17" s="4" t="s">
        <v>28</v>
      </c>
      <c r="I17" s="4" t="s">
        <v>570</v>
      </c>
      <c r="J17" s="4" t="s">
        <v>555</v>
      </c>
      <c r="K17" s="4" t="s">
        <v>343</v>
      </c>
      <c r="L17" s="4" t="s">
        <v>416</v>
      </c>
      <c r="M17" s="4" t="s">
        <v>463</v>
      </c>
      <c r="N17" s="4" t="s">
        <v>464</v>
      </c>
      <c r="O17" s="4" t="s">
        <v>631</v>
      </c>
      <c r="P17" s="4" t="s">
        <v>620</v>
      </c>
      <c r="Q17" s="4"/>
      <c r="R17" s="4" t="s">
        <v>663</v>
      </c>
      <c r="S17" s="4" t="s">
        <v>57</v>
      </c>
      <c r="T17" s="4"/>
      <c r="U17" s="4"/>
      <c r="V17" s="4" t="s">
        <v>57</v>
      </c>
      <c r="W17" s="4" t="s">
        <v>111</v>
      </c>
      <c r="X17" s="4" t="s">
        <v>16</v>
      </c>
      <c r="Y17" s="4" t="s">
        <v>59</v>
      </c>
      <c r="Z17" s="5" t="s">
        <v>112</v>
      </c>
    </row>
    <row r="18" spans="1:26" ht="51.95" customHeight="1">
      <c r="A18" s="39" t="s">
        <v>57</v>
      </c>
      <c r="B18" s="9" t="s">
        <v>113</v>
      </c>
      <c r="C18" s="4" t="s">
        <v>23</v>
      </c>
      <c r="D18" s="4" t="s">
        <v>114</v>
      </c>
      <c r="E18" s="4" t="s">
        <v>27</v>
      </c>
      <c r="F18" s="4" t="s">
        <v>63</v>
      </c>
      <c r="G18" s="4" t="s">
        <v>56</v>
      </c>
      <c r="H18" s="4" t="s">
        <v>28</v>
      </c>
      <c r="I18" s="4" t="s">
        <v>570</v>
      </c>
      <c r="J18" s="4" t="s">
        <v>555</v>
      </c>
      <c r="K18" s="4" t="s">
        <v>344</v>
      </c>
      <c r="L18" s="4" t="s">
        <v>416</v>
      </c>
      <c r="M18" s="4" t="s">
        <v>465</v>
      </c>
      <c r="N18" s="4" t="s">
        <v>466</v>
      </c>
      <c r="O18" s="4" t="s">
        <v>631</v>
      </c>
      <c r="P18" s="4" t="s">
        <v>620</v>
      </c>
      <c r="Q18" s="4"/>
      <c r="R18" s="4" t="s">
        <v>663</v>
      </c>
      <c r="S18" s="4" t="s">
        <v>57</v>
      </c>
      <c r="T18" s="4"/>
      <c r="U18" s="4"/>
      <c r="V18" s="4" t="s">
        <v>57</v>
      </c>
      <c r="W18" s="4" t="s">
        <v>115</v>
      </c>
      <c r="X18" s="4" t="s">
        <v>16</v>
      </c>
      <c r="Y18" s="4" t="s">
        <v>59</v>
      </c>
      <c r="Z18" s="5" t="s">
        <v>116</v>
      </c>
    </row>
    <row r="19" spans="1:26" ht="51.95" customHeight="1">
      <c r="A19" s="39" t="s">
        <v>57</v>
      </c>
      <c r="B19" s="9" t="s">
        <v>117</v>
      </c>
      <c r="C19" s="4" t="s">
        <v>23</v>
      </c>
      <c r="D19" s="4" t="s">
        <v>118</v>
      </c>
      <c r="E19" s="4" t="s">
        <v>24</v>
      </c>
      <c r="F19" s="4" t="s">
        <v>63</v>
      </c>
      <c r="G19" s="4" t="s">
        <v>56</v>
      </c>
      <c r="H19" s="4" t="s">
        <v>28</v>
      </c>
      <c r="I19" s="4" t="s">
        <v>570</v>
      </c>
      <c r="J19" s="4" t="s">
        <v>597</v>
      </c>
      <c r="K19" s="4" t="s">
        <v>345</v>
      </c>
      <c r="L19" s="4" t="s">
        <v>436</v>
      </c>
      <c r="M19" s="4" t="s">
        <v>467</v>
      </c>
      <c r="N19" s="4" t="s">
        <v>468</v>
      </c>
      <c r="O19" s="4" t="s">
        <v>620</v>
      </c>
      <c r="P19" s="4" t="s">
        <v>631</v>
      </c>
      <c r="Q19" s="4"/>
      <c r="R19" s="4" t="s">
        <v>663</v>
      </c>
      <c r="S19" s="4" t="s">
        <v>57</v>
      </c>
      <c r="T19" s="4"/>
      <c r="U19" s="4"/>
      <c r="V19" s="4" t="s">
        <v>57</v>
      </c>
      <c r="W19" s="4" t="s">
        <v>119</v>
      </c>
      <c r="X19" s="4" t="s">
        <v>16</v>
      </c>
      <c r="Y19" s="4" t="s">
        <v>59</v>
      </c>
      <c r="Z19" s="5" t="s">
        <v>120</v>
      </c>
    </row>
    <row r="20" spans="1:26" ht="51.95" customHeight="1">
      <c r="A20" s="39" t="s">
        <v>57</v>
      </c>
      <c r="B20" s="9" t="s">
        <v>121</v>
      </c>
      <c r="C20" s="4" t="s">
        <v>23</v>
      </c>
      <c r="D20" s="4" t="s">
        <v>471</v>
      </c>
      <c r="E20" s="4" t="s">
        <v>24</v>
      </c>
      <c r="F20" s="4" t="s">
        <v>55</v>
      </c>
      <c r="G20" s="4" t="s">
        <v>56</v>
      </c>
      <c r="H20" s="4" t="s">
        <v>28</v>
      </c>
      <c r="I20" s="4" t="s">
        <v>579</v>
      </c>
      <c r="J20" s="4"/>
      <c r="K20" s="4" t="s">
        <v>346</v>
      </c>
      <c r="L20" s="4" t="s">
        <v>436</v>
      </c>
      <c r="M20" s="4" t="s">
        <v>469</v>
      </c>
      <c r="N20" s="4" t="s">
        <v>470</v>
      </c>
      <c r="O20" s="4" t="s">
        <v>620</v>
      </c>
      <c r="P20" s="4" t="s">
        <v>632</v>
      </c>
      <c r="Q20" s="4" t="s">
        <v>57</v>
      </c>
      <c r="R20" s="4"/>
      <c r="S20" s="4" t="s">
        <v>57</v>
      </c>
      <c r="T20" s="4"/>
      <c r="U20" s="4"/>
      <c r="V20" s="4" t="s">
        <v>57</v>
      </c>
      <c r="W20" s="4" t="s">
        <v>122</v>
      </c>
      <c r="X20" s="4" t="s">
        <v>16</v>
      </c>
      <c r="Y20" s="4" t="s">
        <v>59</v>
      </c>
      <c r="Z20" s="5" t="s">
        <v>123</v>
      </c>
    </row>
    <row r="21" spans="1:26" ht="51.95" customHeight="1">
      <c r="A21" s="39" t="s">
        <v>57</v>
      </c>
      <c r="B21" s="9" t="s">
        <v>124</v>
      </c>
      <c r="C21" s="4" t="s">
        <v>23</v>
      </c>
      <c r="D21" s="4" t="s">
        <v>125</v>
      </c>
      <c r="E21" s="4" t="s">
        <v>24</v>
      </c>
      <c r="F21" s="4" t="s">
        <v>63</v>
      </c>
      <c r="G21" s="4" t="s">
        <v>56</v>
      </c>
      <c r="H21" s="4" t="s">
        <v>25</v>
      </c>
      <c r="I21" s="4" t="s">
        <v>597</v>
      </c>
      <c r="J21" s="4" t="s">
        <v>614</v>
      </c>
      <c r="K21" s="4" t="s">
        <v>347</v>
      </c>
      <c r="L21" s="4" t="s">
        <v>428</v>
      </c>
      <c r="M21" s="4" t="s">
        <v>472</v>
      </c>
      <c r="N21" s="4" t="s">
        <v>473</v>
      </c>
      <c r="O21" s="4" t="s">
        <v>633</v>
      </c>
      <c r="P21" s="4" t="s">
        <v>634</v>
      </c>
      <c r="Q21" s="4" t="s">
        <v>663</v>
      </c>
      <c r="R21" s="4"/>
      <c r="S21" s="4" t="s">
        <v>57</v>
      </c>
      <c r="T21" s="4"/>
      <c r="U21" s="4"/>
      <c r="V21" s="4" t="s">
        <v>57</v>
      </c>
      <c r="W21" s="4" t="s">
        <v>126</v>
      </c>
      <c r="X21" s="4" t="s">
        <v>16</v>
      </c>
      <c r="Y21" s="4" t="s">
        <v>59</v>
      </c>
      <c r="Z21" s="5" t="s">
        <v>127</v>
      </c>
    </row>
    <row r="22" spans="1:26" ht="51.95" customHeight="1">
      <c r="A22" s="39" t="s">
        <v>57</v>
      </c>
      <c r="B22" s="9" t="s">
        <v>128</v>
      </c>
      <c r="C22" s="4" t="s">
        <v>23</v>
      </c>
      <c r="D22" s="4" t="s">
        <v>129</v>
      </c>
      <c r="E22" s="4" t="s">
        <v>24</v>
      </c>
      <c r="F22" s="4" t="s">
        <v>55</v>
      </c>
      <c r="G22" s="4" t="s">
        <v>56</v>
      </c>
      <c r="H22" s="4" t="s">
        <v>28</v>
      </c>
      <c r="I22" s="4" t="s">
        <v>573</v>
      </c>
      <c r="J22" s="4" t="s">
        <v>615</v>
      </c>
      <c r="K22" s="4" t="s">
        <v>348</v>
      </c>
      <c r="L22" s="4" t="s">
        <v>392</v>
      </c>
      <c r="M22" s="4" t="s">
        <v>474</v>
      </c>
      <c r="N22" s="4" t="s">
        <v>475</v>
      </c>
      <c r="O22" s="4" t="s">
        <v>633</v>
      </c>
      <c r="P22" s="4" t="s">
        <v>634</v>
      </c>
      <c r="Q22" s="4" t="s">
        <v>57</v>
      </c>
      <c r="R22" s="4"/>
      <c r="S22" s="4" t="s">
        <v>57</v>
      </c>
      <c r="T22" s="4"/>
      <c r="U22" s="4"/>
      <c r="V22" s="4" t="s">
        <v>57</v>
      </c>
      <c r="W22" s="4" t="s">
        <v>130</v>
      </c>
      <c r="X22" s="4" t="s">
        <v>16</v>
      </c>
      <c r="Y22" s="4" t="s">
        <v>59</v>
      </c>
      <c r="Z22" s="5" t="s">
        <v>131</v>
      </c>
    </row>
    <row r="23" spans="1:26" ht="51.95" customHeight="1">
      <c r="A23" s="39" t="s">
        <v>57</v>
      </c>
      <c r="B23" s="9" t="s">
        <v>132</v>
      </c>
      <c r="C23" s="4" t="s">
        <v>23</v>
      </c>
      <c r="D23" s="4" t="s">
        <v>133</v>
      </c>
      <c r="E23" s="4" t="s">
        <v>24</v>
      </c>
      <c r="F23" s="4" t="s">
        <v>63</v>
      </c>
      <c r="G23" s="4" t="s">
        <v>56</v>
      </c>
      <c r="H23" s="4" t="s">
        <v>28</v>
      </c>
      <c r="I23" s="4" t="s">
        <v>600</v>
      </c>
      <c r="J23" s="4" t="s">
        <v>576</v>
      </c>
      <c r="K23" s="4" t="s">
        <v>349</v>
      </c>
      <c r="L23" s="4" t="s">
        <v>420</v>
      </c>
      <c r="M23" s="4" t="s">
        <v>476</v>
      </c>
      <c r="N23" s="4" t="s">
        <v>477</v>
      </c>
      <c r="O23" s="4" t="s">
        <v>626</v>
      </c>
      <c r="P23" s="4" t="s">
        <v>621</v>
      </c>
      <c r="Q23" s="4" t="s">
        <v>663</v>
      </c>
      <c r="R23" s="4"/>
      <c r="S23" s="4" t="s">
        <v>57</v>
      </c>
      <c r="T23" s="4"/>
      <c r="U23" s="4"/>
      <c r="V23" s="4" t="s">
        <v>57</v>
      </c>
      <c r="W23" s="4" t="s">
        <v>134</v>
      </c>
      <c r="X23" s="4" t="s">
        <v>16</v>
      </c>
      <c r="Y23" s="4" t="s">
        <v>59</v>
      </c>
      <c r="Z23" s="5" t="s">
        <v>135</v>
      </c>
    </row>
    <row r="24" spans="1:26" ht="51.95" customHeight="1">
      <c r="A24" s="39" t="s">
        <v>57</v>
      </c>
      <c r="B24" s="9" t="s">
        <v>136</v>
      </c>
      <c r="C24" s="4" t="s">
        <v>23</v>
      </c>
      <c r="D24" s="4" t="s">
        <v>137</v>
      </c>
      <c r="E24" s="4" t="s">
        <v>27</v>
      </c>
      <c r="F24" s="4" t="s">
        <v>63</v>
      </c>
      <c r="G24" s="4" t="s">
        <v>56</v>
      </c>
      <c r="H24" s="4" t="s">
        <v>28</v>
      </c>
      <c r="I24" s="4" t="s">
        <v>576</v>
      </c>
      <c r="J24" s="4" t="s">
        <v>600</v>
      </c>
      <c r="K24" s="4" t="s">
        <v>350</v>
      </c>
      <c r="L24" s="4" t="s">
        <v>392</v>
      </c>
      <c r="M24" s="4" t="s">
        <v>478</v>
      </c>
      <c r="N24" s="4" t="s">
        <v>479</v>
      </c>
      <c r="O24" s="4" t="s">
        <v>626</v>
      </c>
      <c r="P24" s="4" t="s">
        <v>637</v>
      </c>
      <c r="Q24" s="4" t="s">
        <v>663</v>
      </c>
      <c r="R24" s="4"/>
      <c r="S24" s="4" t="s">
        <v>57</v>
      </c>
      <c r="T24" s="4"/>
      <c r="U24" s="4"/>
      <c r="V24" s="4" t="s">
        <v>57</v>
      </c>
      <c r="W24" s="4" t="s">
        <v>138</v>
      </c>
      <c r="X24" s="4" t="s">
        <v>16</v>
      </c>
      <c r="Y24" s="4" t="s">
        <v>59</v>
      </c>
      <c r="Z24" s="5" t="s">
        <v>139</v>
      </c>
    </row>
    <row r="25" spans="1:26" ht="51.95" customHeight="1">
      <c r="A25" s="39" t="s">
        <v>57</v>
      </c>
      <c r="B25" s="9" t="s">
        <v>140</v>
      </c>
      <c r="C25" s="4" t="s">
        <v>23</v>
      </c>
      <c r="D25" s="4" t="s">
        <v>141</v>
      </c>
      <c r="E25" s="4" t="s">
        <v>24</v>
      </c>
      <c r="F25" s="4" t="s">
        <v>63</v>
      </c>
      <c r="G25" s="4" t="s">
        <v>56</v>
      </c>
      <c r="H25" s="4" t="s">
        <v>25</v>
      </c>
      <c r="I25" s="4" t="s">
        <v>582</v>
      </c>
      <c r="J25" s="4"/>
      <c r="K25" s="4" t="s">
        <v>351</v>
      </c>
      <c r="L25" s="4" t="s">
        <v>432</v>
      </c>
      <c r="M25" s="4" t="s">
        <v>480</v>
      </c>
      <c r="N25" s="4" t="s">
        <v>481</v>
      </c>
      <c r="O25" s="4" t="s">
        <v>635</v>
      </c>
      <c r="P25" s="4"/>
      <c r="Q25" s="4" t="s">
        <v>57</v>
      </c>
      <c r="R25" s="4"/>
      <c r="S25" s="4" t="s">
        <v>57</v>
      </c>
      <c r="T25" s="4"/>
      <c r="U25" s="4"/>
      <c r="V25" s="4" t="s">
        <v>57</v>
      </c>
      <c r="W25" s="4" t="s">
        <v>142</v>
      </c>
      <c r="X25" s="4" t="s">
        <v>16</v>
      </c>
      <c r="Y25" s="4" t="s">
        <v>59</v>
      </c>
      <c r="Z25" s="5" t="s">
        <v>143</v>
      </c>
    </row>
    <row r="26" spans="1:26" ht="51.95" customHeight="1">
      <c r="A26" s="39" t="s">
        <v>57</v>
      </c>
      <c r="B26" s="9" t="s">
        <v>144</v>
      </c>
      <c r="C26" s="4" t="s">
        <v>23</v>
      </c>
      <c r="D26" s="4" t="s">
        <v>145</v>
      </c>
      <c r="E26" s="4" t="s">
        <v>24</v>
      </c>
      <c r="F26" s="4" t="s">
        <v>55</v>
      </c>
      <c r="G26" s="4" t="s">
        <v>56</v>
      </c>
      <c r="H26" s="4" t="s">
        <v>30</v>
      </c>
      <c r="I26" s="4" t="s">
        <v>579</v>
      </c>
      <c r="J26" s="4" t="s">
        <v>594</v>
      </c>
      <c r="K26" s="4" t="s">
        <v>352</v>
      </c>
      <c r="L26" s="4" t="s">
        <v>396</v>
      </c>
      <c r="M26" s="4" t="s">
        <v>482</v>
      </c>
      <c r="N26" s="4" t="s">
        <v>483</v>
      </c>
      <c r="O26" s="4" t="s">
        <v>636</v>
      </c>
      <c r="P26" s="4" t="s">
        <v>638</v>
      </c>
      <c r="Q26" s="4" t="s">
        <v>57</v>
      </c>
      <c r="R26" s="4"/>
      <c r="S26" s="4" t="s">
        <v>57</v>
      </c>
      <c r="T26" s="4"/>
      <c r="U26" s="4"/>
      <c r="V26" s="4" t="s">
        <v>57</v>
      </c>
      <c r="W26" s="4" t="s">
        <v>146</v>
      </c>
      <c r="X26" s="4" t="s">
        <v>16</v>
      </c>
      <c r="Y26" s="4" t="s">
        <v>59</v>
      </c>
      <c r="Z26" s="5" t="s">
        <v>147</v>
      </c>
    </row>
    <row r="27" spans="1:26" ht="51.95" customHeight="1">
      <c r="A27" s="39" t="s">
        <v>57</v>
      </c>
      <c r="B27" s="9" t="s">
        <v>148</v>
      </c>
      <c r="C27" s="4" t="s">
        <v>23</v>
      </c>
      <c r="D27" s="4" t="s">
        <v>149</v>
      </c>
      <c r="E27" s="4" t="s">
        <v>27</v>
      </c>
      <c r="F27" s="4" t="s">
        <v>63</v>
      </c>
      <c r="G27" s="4" t="s">
        <v>56</v>
      </c>
      <c r="H27" s="4" t="s">
        <v>30</v>
      </c>
      <c r="I27" s="4" t="s">
        <v>609</v>
      </c>
      <c r="J27" s="4"/>
      <c r="K27" s="4" t="s">
        <v>353</v>
      </c>
      <c r="L27" s="4" t="s">
        <v>396</v>
      </c>
      <c r="M27" s="4" t="s">
        <v>484</v>
      </c>
      <c r="N27" s="4" t="s">
        <v>485</v>
      </c>
      <c r="O27" s="4" t="s">
        <v>639</v>
      </c>
      <c r="P27" s="4" t="s">
        <v>640</v>
      </c>
      <c r="Q27" s="4" t="s">
        <v>663</v>
      </c>
      <c r="R27" s="4"/>
      <c r="S27" s="4" t="s">
        <v>57</v>
      </c>
      <c r="T27" s="4"/>
      <c r="U27" s="4"/>
      <c r="V27" s="4" t="s">
        <v>57</v>
      </c>
      <c r="W27" s="4" t="s">
        <v>150</v>
      </c>
      <c r="X27" s="4" t="s">
        <v>16</v>
      </c>
      <c r="Y27" s="4" t="s">
        <v>59</v>
      </c>
      <c r="Z27" s="5" t="s">
        <v>151</v>
      </c>
    </row>
    <row r="28" spans="1:26" ht="51.95" customHeight="1">
      <c r="A28" s="39" t="s">
        <v>57</v>
      </c>
      <c r="B28" s="9" t="s">
        <v>152</v>
      </c>
      <c r="C28" s="4" t="s">
        <v>23</v>
      </c>
      <c r="D28" s="4" t="s">
        <v>153</v>
      </c>
      <c r="E28" s="4" t="s">
        <v>24</v>
      </c>
      <c r="F28" s="4" t="s">
        <v>63</v>
      </c>
      <c r="G28" s="4" t="s">
        <v>56</v>
      </c>
      <c r="H28" s="4" t="s">
        <v>25</v>
      </c>
      <c r="I28" s="4" t="s">
        <v>597</v>
      </c>
      <c r="J28" s="4" t="s">
        <v>555</v>
      </c>
      <c r="K28" s="4" t="s">
        <v>354</v>
      </c>
      <c r="L28" s="4" t="s">
        <v>428</v>
      </c>
      <c r="M28" s="4" t="s">
        <v>486</v>
      </c>
      <c r="N28" s="4" t="s">
        <v>487</v>
      </c>
      <c r="O28" s="4" t="s">
        <v>637</v>
      </c>
      <c r="P28" s="4" t="s">
        <v>641</v>
      </c>
      <c r="Q28" s="4" t="s">
        <v>663</v>
      </c>
      <c r="R28" s="4"/>
      <c r="S28" s="4" t="s">
        <v>57</v>
      </c>
      <c r="T28" s="4"/>
      <c r="U28" s="4"/>
      <c r="V28" s="4" t="s">
        <v>57</v>
      </c>
      <c r="W28" s="4" t="s">
        <v>154</v>
      </c>
      <c r="X28" s="4" t="s">
        <v>16</v>
      </c>
      <c r="Y28" s="4" t="s">
        <v>59</v>
      </c>
      <c r="Z28" s="5" t="s">
        <v>155</v>
      </c>
    </row>
    <row r="29" spans="1:26" ht="51.95" customHeight="1">
      <c r="A29" s="39" t="s">
        <v>57</v>
      </c>
      <c r="B29" s="9" t="s">
        <v>156</v>
      </c>
      <c r="C29" s="4" t="s">
        <v>23</v>
      </c>
      <c r="D29" s="4" t="s">
        <v>157</v>
      </c>
      <c r="E29" s="4" t="s">
        <v>24</v>
      </c>
      <c r="F29" s="4" t="s">
        <v>63</v>
      </c>
      <c r="G29" s="4" t="s">
        <v>56</v>
      </c>
      <c r="H29" s="4" t="s">
        <v>25</v>
      </c>
      <c r="I29" s="4" t="s">
        <v>597</v>
      </c>
      <c r="J29" s="4"/>
      <c r="K29" s="4" t="s">
        <v>355</v>
      </c>
      <c r="L29" s="4" t="s">
        <v>428</v>
      </c>
      <c r="M29" s="4" t="s">
        <v>488</v>
      </c>
      <c r="N29" s="4" t="s">
        <v>489</v>
      </c>
      <c r="O29" s="4" t="s">
        <v>641</v>
      </c>
      <c r="P29" s="4" t="s">
        <v>642</v>
      </c>
      <c r="Q29" s="4" t="s">
        <v>57</v>
      </c>
      <c r="R29" s="4"/>
      <c r="S29" s="4" t="s">
        <v>57</v>
      </c>
      <c r="T29" s="4"/>
      <c r="U29" s="4"/>
      <c r="V29" s="4" t="s">
        <v>57</v>
      </c>
      <c r="W29" s="4" t="s">
        <v>158</v>
      </c>
      <c r="X29" s="4" t="s">
        <v>16</v>
      </c>
      <c r="Y29" s="4" t="s">
        <v>59</v>
      </c>
      <c r="Z29" s="5" t="s">
        <v>159</v>
      </c>
    </row>
    <row r="30" spans="1:26" ht="51.95" customHeight="1">
      <c r="A30" s="39" t="s">
        <v>57</v>
      </c>
      <c r="B30" s="9" t="s">
        <v>160</v>
      </c>
      <c r="C30" s="4" t="s">
        <v>23</v>
      </c>
      <c r="D30" s="4" t="s">
        <v>161</v>
      </c>
      <c r="E30" s="4" t="s">
        <v>27</v>
      </c>
      <c r="F30" s="4" t="s">
        <v>55</v>
      </c>
      <c r="G30" s="4" t="s">
        <v>56</v>
      </c>
      <c r="H30" s="4" t="s">
        <v>25</v>
      </c>
      <c r="I30" s="4" t="s">
        <v>585</v>
      </c>
      <c r="J30" s="4" t="s">
        <v>616</v>
      </c>
      <c r="K30" s="4" t="s">
        <v>356</v>
      </c>
      <c r="L30" s="4" t="s">
        <v>424</v>
      </c>
      <c r="M30" s="4" t="s">
        <v>490</v>
      </c>
      <c r="N30" s="4" t="s">
        <v>491</v>
      </c>
      <c r="O30" s="4" t="s">
        <v>643</v>
      </c>
      <c r="P30" s="4" t="s">
        <v>644</v>
      </c>
      <c r="Q30" s="4" t="s">
        <v>57</v>
      </c>
      <c r="R30" s="4"/>
      <c r="S30" s="4" t="s">
        <v>57</v>
      </c>
      <c r="T30" s="4"/>
      <c r="U30" s="4"/>
      <c r="V30" s="4" t="s">
        <v>57</v>
      </c>
      <c r="W30" s="4" t="s">
        <v>162</v>
      </c>
      <c r="X30" s="4" t="s">
        <v>16</v>
      </c>
      <c r="Y30" s="4" t="s">
        <v>59</v>
      </c>
      <c r="Z30" s="5" t="s">
        <v>163</v>
      </c>
    </row>
    <row r="31" spans="1:26" ht="51.95" customHeight="1">
      <c r="A31" s="39" t="s">
        <v>57</v>
      </c>
      <c r="B31" s="9" t="s">
        <v>164</v>
      </c>
      <c r="C31" s="4" t="s">
        <v>23</v>
      </c>
      <c r="D31" s="4" t="s">
        <v>165</v>
      </c>
      <c r="E31" s="4" t="s">
        <v>29</v>
      </c>
      <c r="F31" s="4" t="s">
        <v>55</v>
      </c>
      <c r="G31" s="4" t="s">
        <v>56</v>
      </c>
      <c r="H31" s="4" t="s">
        <v>25</v>
      </c>
      <c r="I31" s="4" t="s">
        <v>606</v>
      </c>
      <c r="J31" s="4"/>
      <c r="K31" s="4" t="s">
        <v>357</v>
      </c>
      <c r="L31" s="4" t="s">
        <v>428</v>
      </c>
      <c r="M31" s="4" t="s">
        <v>492</v>
      </c>
      <c r="N31" s="4" t="s">
        <v>493</v>
      </c>
      <c r="O31" s="4" t="s">
        <v>645</v>
      </c>
      <c r="P31" s="4"/>
      <c r="Q31" s="4" t="s">
        <v>57</v>
      </c>
      <c r="R31" s="4"/>
      <c r="S31" s="4" t="s">
        <v>57</v>
      </c>
      <c r="T31" s="4"/>
      <c r="U31" s="4"/>
      <c r="V31" s="4" t="s">
        <v>57</v>
      </c>
      <c r="W31" s="4" t="s">
        <v>166</v>
      </c>
      <c r="X31" s="4" t="s">
        <v>16</v>
      </c>
      <c r="Y31" s="4" t="s">
        <v>59</v>
      </c>
      <c r="Z31" s="5" t="s">
        <v>167</v>
      </c>
    </row>
    <row r="32" spans="1:26" ht="51.95" customHeight="1">
      <c r="A32" s="39" t="s">
        <v>57</v>
      </c>
      <c r="B32" s="9" t="s">
        <v>168</v>
      </c>
      <c r="C32" s="4" t="s">
        <v>23</v>
      </c>
      <c r="D32" s="4" t="s">
        <v>169</v>
      </c>
      <c r="E32" s="4" t="s">
        <v>27</v>
      </c>
      <c r="F32" s="4" t="s">
        <v>81</v>
      </c>
      <c r="G32" s="4" t="s">
        <v>56</v>
      </c>
      <c r="H32" s="4" t="s">
        <v>25</v>
      </c>
      <c r="I32" s="4" t="s">
        <v>579</v>
      </c>
      <c r="J32" s="4"/>
      <c r="K32" s="4" t="s">
        <v>358</v>
      </c>
      <c r="L32" s="4" t="s">
        <v>408</v>
      </c>
      <c r="M32" s="4" t="s">
        <v>494</v>
      </c>
      <c r="N32" s="4" t="s">
        <v>495</v>
      </c>
      <c r="O32" s="4" t="s">
        <v>645</v>
      </c>
      <c r="P32" s="4" t="s">
        <v>646</v>
      </c>
      <c r="Q32" s="4" t="s">
        <v>57</v>
      </c>
      <c r="R32" s="4"/>
      <c r="S32" s="4" t="s">
        <v>57</v>
      </c>
      <c r="T32" s="4"/>
      <c r="U32" s="4"/>
      <c r="V32" s="4" t="s">
        <v>57</v>
      </c>
      <c r="W32" s="4" t="s">
        <v>170</v>
      </c>
      <c r="X32" s="4" t="s">
        <v>16</v>
      </c>
      <c r="Y32" s="4" t="s">
        <v>59</v>
      </c>
      <c r="Z32" s="5" t="s">
        <v>171</v>
      </c>
    </row>
    <row r="33" spans="1:26" ht="51.95" customHeight="1">
      <c r="A33" s="39" t="s">
        <v>57</v>
      </c>
      <c r="B33" s="9" t="s">
        <v>172</v>
      </c>
      <c r="C33" s="4" t="s">
        <v>23</v>
      </c>
      <c r="D33" s="4" t="s">
        <v>173</v>
      </c>
      <c r="E33" s="4" t="s">
        <v>24</v>
      </c>
      <c r="F33" s="4" t="s">
        <v>63</v>
      </c>
      <c r="G33" s="4" t="s">
        <v>56</v>
      </c>
      <c r="H33" s="4" t="s">
        <v>25</v>
      </c>
      <c r="I33" s="4" t="s">
        <v>603</v>
      </c>
      <c r="J33" s="4"/>
      <c r="K33" s="4" t="s">
        <v>359</v>
      </c>
      <c r="L33" s="4" t="s">
        <v>428</v>
      </c>
      <c r="M33" s="4" t="s">
        <v>496</v>
      </c>
      <c r="N33" s="4" t="s">
        <v>497</v>
      </c>
      <c r="O33" s="4" t="s">
        <v>645</v>
      </c>
      <c r="P33" s="4" t="s">
        <v>637</v>
      </c>
      <c r="Q33" s="4" t="s">
        <v>57</v>
      </c>
      <c r="R33" s="4"/>
      <c r="S33" s="4" t="s">
        <v>57</v>
      </c>
      <c r="T33" s="4"/>
      <c r="U33" s="4"/>
      <c r="V33" s="4" t="s">
        <v>57</v>
      </c>
      <c r="W33" s="4" t="s">
        <v>174</v>
      </c>
      <c r="X33" s="4" t="s">
        <v>16</v>
      </c>
      <c r="Y33" s="4" t="s">
        <v>59</v>
      </c>
      <c r="Z33" s="5" t="s">
        <v>175</v>
      </c>
    </row>
    <row r="34" spans="1:26" ht="51.95" customHeight="1">
      <c r="A34" s="39" t="s">
        <v>57</v>
      </c>
      <c r="B34" s="9" t="s">
        <v>176</v>
      </c>
      <c r="C34" s="4" t="s">
        <v>23</v>
      </c>
      <c r="D34" s="4" t="s">
        <v>177</v>
      </c>
      <c r="E34" s="4" t="s">
        <v>24</v>
      </c>
      <c r="F34" s="4" t="s">
        <v>63</v>
      </c>
      <c r="G34" s="4" t="s">
        <v>56</v>
      </c>
      <c r="H34" s="4" t="s">
        <v>25</v>
      </c>
      <c r="I34" s="4" t="s">
        <v>588</v>
      </c>
      <c r="J34" s="4" t="s">
        <v>606</v>
      </c>
      <c r="K34" s="4" t="s">
        <v>360</v>
      </c>
      <c r="L34" s="4" t="s">
        <v>428</v>
      </c>
      <c r="M34" s="4" t="s">
        <v>498</v>
      </c>
      <c r="N34" s="4" t="s">
        <v>499</v>
      </c>
      <c r="O34" s="4" t="s">
        <v>647</v>
      </c>
      <c r="P34" s="4" t="s">
        <v>641</v>
      </c>
      <c r="Q34" s="4" t="s">
        <v>57</v>
      </c>
      <c r="R34" s="4"/>
      <c r="S34" s="4" t="s">
        <v>57</v>
      </c>
      <c r="T34" s="4"/>
      <c r="U34" s="4"/>
      <c r="V34" s="4" t="s">
        <v>57</v>
      </c>
      <c r="W34" s="4" t="s">
        <v>178</v>
      </c>
      <c r="X34" s="4" t="s">
        <v>16</v>
      </c>
      <c r="Y34" s="4" t="s">
        <v>59</v>
      </c>
      <c r="Z34" s="5" t="s">
        <v>179</v>
      </c>
    </row>
    <row r="35" spans="1:26" ht="51.95" customHeight="1">
      <c r="A35" s="39" t="s">
        <v>57</v>
      </c>
      <c r="B35" s="9" t="s">
        <v>180</v>
      </c>
      <c r="C35" s="4" t="s">
        <v>23</v>
      </c>
      <c r="D35" s="4" t="s">
        <v>181</v>
      </c>
      <c r="E35" s="4" t="s">
        <v>27</v>
      </c>
      <c r="F35" s="4" t="s">
        <v>63</v>
      </c>
      <c r="G35" s="4" t="s">
        <v>56</v>
      </c>
      <c r="H35" s="4" t="s">
        <v>25</v>
      </c>
      <c r="I35" s="4" t="s">
        <v>588</v>
      </c>
      <c r="J35" s="4"/>
      <c r="K35" s="4" t="s">
        <v>361</v>
      </c>
      <c r="L35" s="4" t="s">
        <v>428</v>
      </c>
      <c r="M35" s="4" t="s">
        <v>500</v>
      </c>
      <c r="N35" s="4" t="s">
        <v>501</v>
      </c>
      <c r="O35" s="4" t="s">
        <v>647</v>
      </c>
      <c r="P35" s="4"/>
      <c r="Q35" s="4" t="s">
        <v>57</v>
      </c>
      <c r="R35" s="4"/>
      <c r="S35" s="4" t="s">
        <v>57</v>
      </c>
      <c r="T35" s="4"/>
      <c r="U35" s="4"/>
      <c r="V35" s="4" t="s">
        <v>57</v>
      </c>
      <c r="W35" s="4" t="s">
        <v>182</v>
      </c>
      <c r="X35" s="4" t="s">
        <v>16</v>
      </c>
      <c r="Y35" s="4" t="s">
        <v>59</v>
      </c>
      <c r="Z35" s="5" t="s">
        <v>183</v>
      </c>
    </row>
    <row r="36" spans="1:26" ht="51.95" customHeight="1">
      <c r="A36" s="39" t="s">
        <v>57</v>
      </c>
      <c r="B36" s="9" t="s">
        <v>184</v>
      </c>
      <c r="C36" s="4" t="s">
        <v>23</v>
      </c>
      <c r="D36" s="4" t="s">
        <v>185</v>
      </c>
      <c r="E36" s="4" t="s">
        <v>27</v>
      </c>
      <c r="F36" s="4" t="s">
        <v>63</v>
      </c>
      <c r="G36" s="4" t="s">
        <v>56</v>
      </c>
      <c r="H36" s="4" t="s">
        <v>25</v>
      </c>
      <c r="I36" s="4" t="s">
        <v>555</v>
      </c>
      <c r="J36" s="4" t="s">
        <v>597</v>
      </c>
      <c r="K36" s="4" t="s">
        <v>362</v>
      </c>
      <c r="L36" s="4" t="s">
        <v>428</v>
      </c>
      <c r="M36" s="4" t="s">
        <v>502</v>
      </c>
      <c r="N36" s="4" t="s">
        <v>503</v>
      </c>
      <c r="O36" s="4" t="s">
        <v>641</v>
      </c>
      <c r="P36" s="4"/>
      <c r="Q36" s="4" t="s">
        <v>57</v>
      </c>
      <c r="R36" s="4"/>
      <c r="S36" s="4" t="s">
        <v>57</v>
      </c>
      <c r="T36" s="4"/>
      <c r="U36" s="4"/>
      <c r="V36" s="4" t="s">
        <v>57</v>
      </c>
      <c r="W36" s="4" t="s">
        <v>186</v>
      </c>
      <c r="X36" s="4" t="s">
        <v>16</v>
      </c>
      <c r="Y36" s="4" t="s">
        <v>59</v>
      </c>
      <c r="Z36" s="5" t="s">
        <v>187</v>
      </c>
    </row>
    <row r="37" spans="1:26" ht="51.95" customHeight="1">
      <c r="A37" s="39" t="s">
        <v>57</v>
      </c>
      <c r="B37" s="9" t="s">
        <v>188</v>
      </c>
      <c r="C37" s="4" t="s">
        <v>23</v>
      </c>
      <c r="D37" s="4" t="s">
        <v>189</v>
      </c>
      <c r="E37" s="4" t="s">
        <v>27</v>
      </c>
      <c r="F37" s="4" t="s">
        <v>63</v>
      </c>
      <c r="G37" s="4" t="s">
        <v>56</v>
      </c>
      <c r="H37" s="4" t="s">
        <v>25</v>
      </c>
      <c r="I37" s="4" t="s">
        <v>555</v>
      </c>
      <c r="J37" s="4" t="s">
        <v>597</v>
      </c>
      <c r="K37" s="4" t="s">
        <v>363</v>
      </c>
      <c r="L37" s="4" t="s">
        <v>428</v>
      </c>
      <c r="M37" s="4" t="s">
        <v>496</v>
      </c>
      <c r="N37" s="4" t="s">
        <v>504</v>
      </c>
      <c r="O37" s="4" t="s">
        <v>641</v>
      </c>
      <c r="P37" s="4" t="s">
        <v>647</v>
      </c>
      <c r="Q37" s="4" t="s">
        <v>57</v>
      </c>
      <c r="R37" s="4"/>
      <c r="S37" s="4" t="s">
        <v>57</v>
      </c>
      <c r="T37" s="4"/>
      <c r="U37" s="4"/>
      <c r="V37" s="4" t="s">
        <v>57</v>
      </c>
      <c r="W37" s="4" t="s">
        <v>190</v>
      </c>
      <c r="X37" s="4" t="s">
        <v>16</v>
      </c>
      <c r="Y37" s="4" t="s">
        <v>59</v>
      </c>
      <c r="Z37" s="5" t="s">
        <v>191</v>
      </c>
    </row>
    <row r="38" spans="1:26" ht="51.95" customHeight="1">
      <c r="A38" s="39" t="s">
        <v>57</v>
      </c>
      <c r="B38" s="9" t="s">
        <v>192</v>
      </c>
      <c r="C38" s="4" t="s">
        <v>23</v>
      </c>
      <c r="D38" s="4" t="s">
        <v>193</v>
      </c>
      <c r="E38" s="4" t="s">
        <v>27</v>
      </c>
      <c r="F38" s="4" t="s">
        <v>55</v>
      </c>
      <c r="G38" s="4" t="s">
        <v>56</v>
      </c>
      <c r="H38" s="4" t="s">
        <v>30</v>
      </c>
      <c r="I38" s="4" t="s">
        <v>585</v>
      </c>
      <c r="J38" s="4" t="s">
        <v>567</v>
      </c>
      <c r="K38" s="4" t="s">
        <v>364</v>
      </c>
      <c r="L38" s="4" t="s">
        <v>428</v>
      </c>
      <c r="M38" s="4" t="s">
        <v>505</v>
      </c>
      <c r="N38" s="4" t="s">
        <v>506</v>
      </c>
      <c r="O38" s="4" t="s">
        <v>629</v>
      </c>
      <c r="P38" s="4" t="s">
        <v>625</v>
      </c>
      <c r="Q38" s="4"/>
      <c r="R38" s="4" t="s">
        <v>663</v>
      </c>
      <c r="S38" s="4" t="s">
        <v>57</v>
      </c>
      <c r="T38" s="4"/>
      <c r="U38" s="4"/>
      <c r="V38" s="4" t="s">
        <v>57</v>
      </c>
      <c r="W38" s="4" t="s">
        <v>194</v>
      </c>
      <c r="X38" s="4" t="s">
        <v>16</v>
      </c>
      <c r="Y38" s="4" t="s">
        <v>59</v>
      </c>
      <c r="Z38" s="5" t="s">
        <v>195</v>
      </c>
    </row>
    <row r="39" spans="1:26" ht="51.95" customHeight="1">
      <c r="A39" s="39" t="s">
        <v>57</v>
      </c>
      <c r="B39" s="9" t="s">
        <v>196</v>
      </c>
      <c r="C39" s="4" t="s">
        <v>23</v>
      </c>
      <c r="D39" s="4" t="s">
        <v>197</v>
      </c>
      <c r="E39" s="4" t="s">
        <v>24</v>
      </c>
      <c r="F39" s="4" t="s">
        <v>63</v>
      </c>
      <c r="G39" s="4" t="s">
        <v>56</v>
      </c>
      <c r="H39" s="4" t="s">
        <v>28</v>
      </c>
      <c r="I39" s="4" t="s">
        <v>591</v>
      </c>
      <c r="J39" s="4"/>
      <c r="K39" s="4" t="s">
        <v>365</v>
      </c>
      <c r="L39" s="4" t="s">
        <v>404</v>
      </c>
      <c r="M39" s="4" t="s">
        <v>507</v>
      </c>
      <c r="N39" s="4" t="s">
        <v>508</v>
      </c>
      <c r="O39" s="4" t="s">
        <v>628</v>
      </c>
      <c r="P39" s="4"/>
      <c r="Q39" s="4"/>
      <c r="R39" s="4" t="s">
        <v>663</v>
      </c>
      <c r="S39" s="4" t="s">
        <v>57</v>
      </c>
      <c r="T39" s="4"/>
      <c r="U39" s="4"/>
      <c r="V39" s="4" t="s">
        <v>57</v>
      </c>
      <c r="W39" s="4" t="s">
        <v>198</v>
      </c>
      <c r="X39" s="4" t="s">
        <v>16</v>
      </c>
      <c r="Y39" s="4" t="s">
        <v>59</v>
      </c>
      <c r="Z39" s="5" t="s">
        <v>199</v>
      </c>
    </row>
    <row r="40" spans="1:26" ht="51.95" customHeight="1">
      <c r="A40" s="39" t="s">
        <v>57</v>
      </c>
      <c r="B40" s="9" t="s">
        <v>200</v>
      </c>
      <c r="C40" s="4" t="s">
        <v>23</v>
      </c>
      <c r="D40" s="4" t="s">
        <v>201</v>
      </c>
      <c r="E40" s="4" t="s">
        <v>24</v>
      </c>
      <c r="F40" s="4" t="s">
        <v>63</v>
      </c>
      <c r="G40" s="4" t="s">
        <v>56</v>
      </c>
      <c r="H40" s="4" t="s">
        <v>28</v>
      </c>
      <c r="I40" s="4" t="s">
        <v>600</v>
      </c>
      <c r="J40" s="4" t="s">
        <v>552</v>
      </c>
      <c r="K40" s="4" t="s">
        <v>366</v>
      </c>
      <c r="L40" s="4" t="s">
        <v>420</v>
      </c>
      <c r="M40" s="4" t="s">
        <v>509</v>
      </c>
      <c r="N40" s="4" t="s">
        <v>510</v>
      </c>
      <c r="O40" s="4" t="s">
        <v>648</v>
      </c>
      <c r="P40" s="4" t="s">
        <v>649</v>
      </c>
      <c r="Q40" s="4" t="s">
        <v>57</v>
      </c>
      <c r="R40" s="4"/>
      <c r="S40" s="4" t="s">
        <v>57</v>
      </c>
      <c r="T40" s="4"/>
      <c r="U40" s="4"/>
      <c r="V40" s="4" t="s">
        <v>57</v>
      </c>
      <c r="W40" s="4" t="s">
        <v>202</v>
      </c>
      <c r="X40" s="4" t="s">
        <v>16</v>
      </c>
      <c r="Y40" s="4" t="s">
        <v>59</v>
      </c>
      <c r="Z40" s="5" t="s">
        <v>203</v>
      </c>
    </row>
    <row r="41" spans="1:26" ht="51.95" customHeight="1">
      <c r="A41" s="39" t="s">
        <v>57</v>
      </c>
      <c r="B41" s="9" t="s">
        <v>204</v>
      </c>
      <c r="C41" s="4" t="s">
        <v>23</v>
      </c>
      <c r="D41" s="4" t="s">
        <v>205</v>
      </c>
      <c r="E41" s="4" t="s">
        <v>27</v>
      </c>
      <c r="F41" s="4" t="s">
        <v>63</v>
      </c>
      <c r="G41" s="4" t="s">
        <v>56</v>
      </c>
      <c r="H41" s="4" t="s">
        <v>25</v>
      </c>
      <c r="I41" s="4" t="s">
        <v>576</v>
      </c>
      <c r="J41" s="4" t="s">
        <v>552</v>
      </c>
      <c r="K41" s="4" t="s">
        <v>367</v>
      </c>
      <c r="L41" s="4" t="s">
        <v>392</v>
      </c>
      <c r="M41" s="4" t="s">
        <v>511</v>
      </c>
      <c r="N41" s="4" t="s">
        <v>512</v>
      </c>
      <c r="O41" s="4" t="s">
        <v>648</v>
      </c>
      <c r="P41" s="4" t="s">
        <v>621</v>
      </c>
      <c r="Q41" s="4" t="s">
        <v>663</v>
      </c>
      <c r="R41" s="4"/>
      <c r="S41" s="4" t="s">
        <v>57</v>
      </c>
      <c r="T41" s="4"/>
      <c r="U41" s="4"/>
      <c r="V41" s="4" t="s">
        <v>57</v>
      </c>
      <c r="W41" s="4" t="s">
        <v>206</v>
      </c>
      <c r="X41" s="4" t="s">
        <v>16</v>
      </c>
      <c r="Y41" s="4" t="s">
        <v>59</v>
      </c>
      <c r="Z41" s="5" t="s">
        <v>207</v>
      </c>
    </row>
    <row r="42" spans="1:26" ht="51.95" customHeight="1">
      <c r="A42" s="39" t="s">
        <v>57</v>
      </c>
      <c r="B42" s="9" t="s">
        <v>208</v>
      </c>
      <c r="C42" s="4" t="s">
        <v>23</v>
      </c>
      <c r="D42" s="4" t="s">
        <v>209</v>
      </c>
      <c r="E42" s="4" t="s">
        <v>24</v>
      </c>
      <c r="F42" s="4" t="s">
        <v>63</v>
      </c>
      <c r="G42" s="4" t="s">
        <v>56</v>
      </c>
      <c r="H42" s="4" t="s">
        <v>28</v>
      </c>
      <c r="I42" s="4" t="s">
        <v>597</v>
      </c>
      <c r="J42" s="4" t="s">
        <v>613</v>
      </c>
      <c r="K42" s="4" t="s">
        <v>368</v>
      </c>
      <c r="L42" s="4" t="s">
        <v>428</v>
      </c>
      <c r="M42" s="4" t="s">
        <v>513</v>
      </c>
      <c r="N42" s="4" t="s">
        <v>514</v>
      </c>
      <c r="O42" s="4" t="s">
        <v>629</v>
      </c>
      <c r="P42" s="4" t="s">
        <v>650</v>
      </c>
      <c r="Q42" s="4" t="s">
        <v>57</v>
      </c>
      <c r="R42" s="4"/>
      <c r="S42" s="4" t="s">
        <v>57</v>
      </c>
      <c r="T42" s="4"/>
      <c r="U42" s="4"/>
      <c r="V42" s="4" t="s">
        <v>57</v>
      </c>
      <c r="W42" s="4" t="s">
        <v>210</v>
      </c>
      <c r="X42" s="4" t="s">
        <v>16</v>
      </c>
      <c r="Y42" s="4" t="s">
        <v>59</v>
      </c>
      <c r="Z42" s="5" t="s">
        <v>211</v>
      </c>
    </row>
    <row r="43" spans="1:26" ht="51.95" customHeight="1">
      <c r="A43" s="39" t="s">
        <v>57</v>
      </c>
      <c r="B43" s="9" t="s">
        <v>212</v>
      </c>
      <c r="C43" s="4" t="s">
        <v>26</v>
      </c>
      <c r="D43" s="4" t="s">
        <v>213</v>
      </c>
      <c r="E43" s="4" t="s">
        <v>24</v>
      </c>
      <c r="F43" s="4" t="s">
        <v>55</v>
      </c>
      <c r="G43" s="4" t="s">
        <v>56</v>
      </c>
      <c r="H43" s="4" t="s">
        <v>28</v>
      </c>
      <c r="I43" s="4" t="s">
        <v>609</v>
      </c>
      <c r="J43" s="4"/>
      <c r="K43" s="4" t="s">
        <v>369</v>
      </c>
      <c r="L43" s="4" t="s">
        <v>436</v>
      </c>
      <c r="M43" s="4" t="s">
        <v>515</v>
      </c>
      <c r="N43" s="4" t="s">
        <v>516</v>
      </c>
      <c r="O43" s="4" t="s">
        <v>620</v>
      </c>
      <c r="P43" s="4" t="s">
        <v>651</v>
      </c>
      <c r="Q43" s="4" t="s">
        <v>57</v>
      </c>
      <c r="R43" s="4"/>
      <c r="S43" s="4" t="s">
        <v>57</v>
      </c>
      <c r="T43" s="4"/>
      <c r="U43" s="4"/>
      <c r="V43" s="4" t="s">
        <v>57</v>
      </c>
      <c r="W43" s="4" t="s">
        <v>214</v>
      </c>
      <c r="X43" s="4" t="s">
        <v>16</v>
      </c>
      <c r="Y43" s="4" t="s">
        <v>59</v>
      </c>
      <c r="Z43" s="5" t="s">
        <v>215</v>
      </c>
    </row>
    <row r="44" spans="1:26" ht="51.95" customHeight="1">
      <c r="A44" s="39" t="s">
        <v>57</v>
      </c>
      <c r="B44" s="9" t="s">
        <v>216</v>
      </c>
      <c r="C44" s="4" t="s">
        <v>26</v>
      </c>
      <c r="D44" s="4" t="s">
        <v>217</v>
      </c>
      <c r="E44" s="4" t="s">
        <v>24</v>
      </c>
      <c r="F44" s="4" t="s">
        <v>55</v>
      </c>
      <c r="G44" s="4" t="s">
        <v>56</v>
      </c>
      <c r="H44" s="4" t="s">
        <v>28</v>
      </c>
      <c r="I44" s="4" t="s">
        <v>609</v>
      </c>
      <c r="J44" s="4"/>
      <c r="K44" s="4" t="s">
        <v>370</v>
      </c>
      <c r="L44" s="4" t="s">
        <v>436</v>
      </c>
      <c r="M44" s="4" t="s">
        <v>517</v>
      </c>
      <c r="N44" s="4" t="s">
        <v>518</v>
      </c>
      <c r="O44" s="4" t="s">
        <v>620</v>
      </c>
      <c r="P44" s="4" t="s">
        <v>629</v>
      </c>
      <c r="Q44" s="4" t="s">
        <v>663</v>
      </c>
      <c r="R44" s="4"/>
      <c r="S44" s="4" t="s">
        <v>57</v>
      </c>
      <c r="T44" s="4"/>
      <c r="U44" s="4"/>
      <c r="V44" s="4" t="s">
        <v>57</v>
      </c>
      <c r="W44" s="4" t="s">
        <v>218</v>
      </c>
      <c r="X44" s="4" t="s">
        <v>16</v>
      </c>
      <c r="Y44" s="4" t="s">
        <v>59</v>
      </c>
      <c r="Z44" s="5" t="s">
        <v>219</v>
      </c>
    </row>
    <row r="45" spans="1:26" ht="51.95" customHeight="1">
      <c r="A45" s="39" t="s">
        <v>57</v>
      </c>
      <c r="B45" s="9" t="s">
        <v>220</v>
      </c>
      <c r="C45" s="4" t="s">
        <v>26</v>
      </c>
      <c r="D45" s="4" t="s">
        <v>221</v>
      </c>
      <c r="E45" s="4" t="s">
        <v>24</v>
      </c>
      <c r="F45" s="4" t="s">
        <v>55</v>
      </c>
      <c r="G45" s="4" t="s">
        <v>56</v>
      </c>
      <c r="H45" s="4" t="s">
        <v>30</v>
      </c>
      <c r="I45" s="4" t="s">
        <v>609</v>
      </c>
      <c r="J45" s="4" t="s">
        <v>567</v>
      </c>
      <c r="K45" s="4" t="s">
        <v>371</v>
      </c>
      <c r="L45" s="4" t="s">
        <v>396</v>
      </c>
      <c r="M45" s="4" t="s">
        <v>519</v>
      </c>
      <c r="N45" s="4" t="s">
        <v>520</v>
      </c>
      <c r="O45" s="4" t="s">
        <v>629</v>
      </c>
      <c r="P45" s="4" t="s">
        <v>653</v>
      </c>
      <c r="Q45" s="4" t="s">
        <v>663</v>
      </c>
      <c r="R45" s="4"/>
      <c r="S45" s="4" t="s">
        <v>57</v>
      </c>
      <c r="T45" s="4"/>
      <c r="U45" s="4"/>
      <c r="V45" s="4" t="s">
        <v>57</v>
      </c>
      <c r="W45" s="4" t="s">
        <v>222</v>
      </c>
      <c r="X45" s="4" t="s">
        <v>16</v>
      </c>
      <c r="Y45" s="4" t="s">
        <v>59</v>
      </c>
      <c r="Z45" s="5" t="s">
        <v>223</v>
      </c>
    </row>
    <row r="46" spans="1:26" ht="51.95" customHeight="1">
      <c r="A46" s="39" t="s">
        <v>57</v>
      </c>
      <c r="B46" s="9" t="s">
        <v>224</v>
      </c>
      <c r="C46" s="4" t="s">
        <v>26</v>
      </c>
      <c r="D46" s="4" t="s">
        <v>225</v>
      </c>
      <c r="E46" s="4" t="s">
        <v>27</v>
      </c>
      <c r="F46" s="4" t="s">
        <v>63</v>
      </c>
      <c r="G46" s="4" t="s">
        <v>56</v>
      </c>
      <c r="H46" s="4" t="s">
        <v>30</v>
      </c>
      <c r="I46" s="4" t="s">
        <v>609</v>
      </c>
      <c r="J46" s="4"/>
      <c r="K46" s="4" t="s">
        <v>372</v>
      </c>
      <c r="L46" s="4" t="s">
        <v>396</v>
      </c>
      <c r="M46" s="4" t="s">
        <v>521</v>
      </c>
      <c r="N46" s="4" t="s">
        <v>522</v>
      </c>
      <c r="O46" s="4" t="s">
        <v>652</v>
      </c>
      <c r="P46" s="4" t="s">
        <v>654</v>
      </c>
      <c r="Q46" s="4" t="s">
        <v>57</v>
      </c>
      <c r="R46" s="4"/>
      <c r="S46" s="4" t="s">
        <v>57</v>
      </c>
      <c r="T46" s="4"/>
      <c r="U46" s="4"/>
      <c r="V46" s="4" t="s">
        <v>57</v>
      </c>
      <c r="W46" s="4" t="s">
        <v>226</v>
      </c>
      <c r="X46" s="4" t="s">
        <v>16</v>
      </c>
      <c r="Y46" s="4" t="s">
        <v>59</v>
      </c>
      <c r="Z46" s="5" t="s">
        <v>227</v>
      </c>
    </row>
    <row r="47" spans="1:26" ht="51.95" customHeight="1">
      <c r="A47" s="39" t="s">
        <v>57</v>
      </c>
      <c r="B47" s="9" t="s">
        <v>228</v>
      </c>
      <c r="C47" s="4" t="s">
        <v>26</v>
      </c>
      <c r="D47" s="4" t="s">
        <v>229</v>
      </c>
      <c r="E47" s="4" t="s">
        <v>24</v>
      </c>
      <c r="F47" s="4" t="s">
        <v>63</v>
      </c>
      <c r="G47" s="4" t="s">
        <v>56</v>
      </c>
      <c r="H47" s="4" t="s">
        <v>28</v>
      </c>
      <c r="I47" s="4" t="s">
        <v>600</v>
      </c>
      <c r="J47" s="4"/>
      <c r="K47" s="4" t="s">
        <v>373</v>
      </c>
      <c r="L47" s="4" t="s">
        <v>420</v>
      </c>
      <c r="M47" s="4" t="s">
        <v>523</v>
      </c>
      <c r="N47" s="4" t="s">
        <v>524</v>
      </c>
      <c r="O47" s="4" t="s">
        <v>648</v>
      </c>
      <c r="P47" s="4" t="s">
        <v>655</v>
      </c>
      <c r="Q47" s="4" t="s">
        <v>57</v>
      </c>
      <c r="R47" s="4"/>
      <c r="S47" s="4" t="s">
        <v>57</v>
      </c>
      <c r="T47" s="4"/>
      <c r="U47" s="4"/>
      <c r="V47" s="4" t="s">
        <v>57</v>
      </c>
      <c r="W47" s="4" t="s">
        <v>230</v>
      </c>
      <c r="X47" s="4" t="s">
        <v>16</v>
      </c>
      <c r="Y47" s="4" t="s">
        <v>59</v>
      </c>
      <c r="Z47" s="5" t="s">
        <v>231</v>
      </c>
    </row>
    <row r="48" spans="1:26" ht="51.95" customHeight="1">
      <c r="A48" s="39" t="s">
        <v>57</v>
      </c>
      <c r="B48" s="9" t="s">
        <v>232</v>
      </c>
      <c r="C48" s="4" t="s">
        <v>26</v>
      </c>
      <c r="D48" s="4" t="s">
        <v>233</v>
      </c>
      <c r="E48" s="4" t="s">
        <v>24</v>
      </c>
      <c r="F48" s="4" t="s">
        <v>63</v>
      </c>
      <c r="G48" s="4" t="s">
        <v>56</v>
      </c>
      <c r="H48" s="4" t="s">
        <v>28</v>
      </c>
      <c r="I48" s="4" t="s">
        <v>564</v>
      </c>
      <c r="J48" s="4"/>
      <c r="K48" s="4" t="s">
        <v>374</v>
      </c>
      <c r="L48" s="4" t="s">
        <v>424</v>
      </c>
      <c r="M48" s="4" t="s">
        <v>525</v>
      </c>
      <c r="N48" s="4" t="s">
        <v>526</v>
      </c>
      <c r="O48" s="4" t="s">
        <v>628</v>
      </c>
      <c r="P48" s="4" t="s">
        <v>621</v>
      </c>
      <c r="Q48" s="4" t="s">
        <v>57</v>
      </c>
      <c r="R48" s="4"/>
      <c r="S48" s="4" t="s">
        <v>57</v>
      </c>
      <c r="T48" s="4"/>
      <c r="U48" s="4"/>
      <c r="V48" s="4" t="s">
        <v>57</v>
      </c>
      <c r="W48" s="4" t="s">
        <v>234</v>
      </c>
      <c r="X48" s="4" t="s">
        <v>16</v>
      </c>
      <c r="Y48" s="4" t="s">
        <v>59</v>
      </c>
      <c r="Z48" s="5" t="s">
        <v>235</v>
      </c>
    </row>
    <row r="49" spans="1:26" ht="51.95" customHeight="1">
      <c r="A49" s="39" t="s">
        <v>57</v>
      </c>
      <c r="B49" s="9" t="s">
        <v>236</v>
      </c>
      <c r="C49" s="4" t="s">
        <v>26</v>
      </c>
      <c r="D49" s="4" t="s">
        <v>237</v>
      </c>
      <c r="E49" s="4" t="s">
        <v>24</v>
      </c>
      <c r="F49" s="4" t="s">
        <v>90</v>
      </c>
      <c r="G49" s="4" t="s">
        <v>56</v>
      </c>
      <c r="H49" s="4" t="s">
        <v>28</v>
      </c>
      <c r="I49" s="4" t="s">
        <v>600</v>
      </c>
      <c r="J49" s="4" t="s">
        <v>617</v>
      </c>
      <c r="K49" s="4" t="s">
        <v>375</v>
      </c>
      <c r="L49" s="4" t="s">
        <v>420</v>
      </c>
      <c r="M49" s="4" t="s">
        <v>527</v>
      </c>
      <c r="N49" s="4" t="s">
        <v>528</v>
      </c>
      <c r="O49" s="4" t="s">
        <v>648</v>
      </c>
      <c r="P49" s="4" t="s">
        <v>656</v>
      </c>
      <c r="Q49" s="4" t="s">
        <v>57</v>
      </c>
      <c r="R49" s="4"/>
      <c r="S49" s="4" t="s">
        <v>57</v>
      </c>
      <c r="T49" s="4"/>
      <c r="U49" s="4"/>
      <c r="V49" s="4" t="s">
        <v>57</v>
      </c>
      <c r="W49" s="4" t="s">
        <v>238</v>
      </c>
      <c r="X49" s="4" t="s">
        <v>16</v>
      </c>
      <c r="Y49" s="4" t="s">
        <v>59</v>
      </c>
      <c r="Z49" s="5" t="s">
        <v>239</v>
      </c>
    </row>
    <row r="50" spans="1:26" ht="51.95" customHeight="1">
      <c r="A50" s="39" t="s">
        <v>57</v>
      </c>
      <c r="B50" s="9" t="s">
        <v>240</v>
      </c>
      <c r="C50" s="4" t="s">
        <v>26</v>
      </c>
      <c r="D50" s="4" t="s">
        <v>241</v>
      </c>
      <c r="E50" s="4" t="s">
        <v>24</v>
      </c>
      <c r="F50" s="4" t="s">
        <v>63</v>
      </c>
      <c r="G50" s="4" t="s">
        <v>56</v>
      </c>
      <c r="H50" s="4" t="s">
        <v>25</v>
      </c>
      <c r="I50" s="4" t="s">
        <v>597</v>
      </c>
      <c r="J50" s="4" t="s">
        <v>618</v>
      </c>
      <c r="K50" s="4" t="s">
        <v>376</v>
      </c>
      <c r="L50" s="4" t="s">
        <v>428</v>
      </c>
      <c r="M50" s="4" t="s">
        <v>529</v>
      </c>
      <c r="N50" s="4" t="s">
        <v>530</v>
      </c>
      <c r="O50" s="4" t="s">
        <v>641</v>
      </c>
      <c r="P50" s="4" t="s">
        <v>657</v>
      </c>
      <c r="Q50" s="4" t="s">
        <v>57</v>
      </c>
      <c r="R50" s="4"/>
      <c r="S50" s="4" t="s">
        <v>57</v>
      </c>
      <c r="T50" s="4"/>
      <c r="U50" s="4"/>
      <c r="V50" s="4" t="s">
        <v>57</v>
      </c>
      <c r="W50" s="4" t="s">
        <v>242</v>
      </c>
      <c r="X50" s="4" t="s">
        <v>16</v>
      </c>
      <c r="Y50" s="4" t="s">
        <v>59</v>
      </c>
      <c r="Z50" s="5" t="s">
        <v>243</v>
      </c>
    </row>
    <row r="51" spans="1:26" ht="51.95" customHeight="1">
      <c r="A51" s="39" t="s">
        <v>57</v>
      </c>
      <c r="B51" s="9" t="s">
        <v>244</v>
      </c>
      <c r="C51" s="4" t="s">
        <v>26</v>
      </c>
      <c r="D51" s="4" t="s">
        <v>245</v>
      </c>
      <c r="E51" s="4" t="s">
        <v>24</v>
      </c>
      <c r="F51" s="4" t="s">
        <v>63</v>
      </c>
      <c r="G51" s="4" t="s">
        <v>56</v>
      </c>
      <c r="H51" s="4" t="s">
        <v>28</v>
      </c>
      <c r="I51" s="4" t="s">
        <v>570</v>
      </c>
      <c r="J51" s="4"/>
      <c r="K51" s="4" t="s">
        <v>377</v>
      </c>
      <c r="L51" s="4" t="s">
        <v>416</v>
      </c>
      <c r="M51" s="4" t="s">
        <v>531</v>
      </c>
      <c r="N51" s="4" t="s">
        <v>532</v>
      </c>
      <c r="O51" s="4" t="s">
        <v>620</v>
      </c>
      <c r="P51" s="4" t="s">
        <v>631</v>
      </c>
      <c r="Q51" s="4" t="s">
        <v>57</v>
      </c>
      <c r="R51" s="4"/>
      <c r="S51" s="4" t="s">
        <v>57</v>
      </c>
      <c r="T51" s="4"/>
      <c r="U51" s="4"/>
      <c r="V51" s="4" t="s">
        <v>57</v>
      </c>
      <c r="W51" s="4" t="s">
        <v>246</v>
      </c>
      <c r="X51" s="4" t="s">
        <v>16</v>
      </c>
      <c r="Y51" s="4" t="s">
        <v>59</v>
      </c>
      <c r="Z51" s="5" t="s">
        <v>247</v>
      </c>
    </row>
    <row r="52" spans="1:26" ht="51.95" customHeight="1">
      <c r="A52" s="39" t="s">
        <v>57</v>
      </c>
      <c r="B52" s="9" t="s">
        <v>248</v>
      </c>
      <c r="C52" s="4" t="s">
        <v>26</v>
      </c>
      <c r="D52" s="4" t="s">
        <v>249</v>
      </c>
      <c r="E52" s="4" t="s">
        <v>24</v>
      </c>
      <c r="F52" s="4" t="s">
        <v>63</v>
      </c>
      <c r="G52" s="4" t="s">
        <v>56</v>
      </c>
      <c r="H52" s="4" t="s">
        <v>25</v>
      </c>
      <c r="I52" s="4" t="s">
        <v>597</v>
      </c>
      <c r="J52" s="4"/>
      <c r="K52" s="4" t="s">
        <v>378</v>
      </c>
      <c r="L52" s="4" t="s">
        <v>428</v>
      </c>
      <c r="M52" s="4" t="s">
        <v>533</v>
      </c>
      <c r="N52" s="4" t="s">
        <v>534</v>
      </c>
      <c r="O52" s="4" t="s">
        <v>641</v>
      </c>
      <c r="P52" s="4" t="s">
        <v>658</v>
      </c>
      <c r="Q52" s="4" t="s">
        <v>57</v>
      </c>
      <c r="R52" s="4"/>
      <c r="S52" s="4" t="s">
        <v>57</v>
      </c>
      <c r="T52" s="4"/>
      <c r="U52" s="4"/>
      <c r="V52" s="4" t="s">
        <v>57</v>
      </c>
      <c r="W52" s="4" t="s">
        <v>250</v>
      </c>
      <c r="X52" s="4" t="s">
        <v>16</v>
      </c>
      <c r="Y52" s="4" t="s">
        <v>59</v>
      </c>
      <c r="Z52" s="5" t="s">
        <v>251</v>
      </c>
    </row>
    <row r="53" spans="1:26" ht="51.95" customHeight="1">
      <c r="A53" s="39" t="s">
        <v>57</v>
      </c>
      <c r="B53" s="9" t="s">
        <v>252</v>
      </c>
      <c r="C53" s="4" t="s">
        <v>26</v>
      </c>
      <c r="D53" s="4" t="s">
        <v>253</v>
      </c>
      <c r="E53" s="4" t="s">
        <v>27</v>
      </c>
      <c r="F53" s="4" t="s">
        <v>63</v>
      </c>
      <c r="G53" s="4" t="s">
        <v>56</v>
      </c>
      <c r="H53" s="4" t="s">
        <v>25</v>
      </c>
      <c r="I53" s="4" t="s">
        <v>597</v>
      </c>
      <c r="J53" s="4" t="s">
        <v>555</v>
      </c>
      <c r="K53" s="4" t="s">
        <v>379</v>
      </c>
      <c r="L53" s="4" t="s">
        <v>428</v>
      </c>
      <c r="M53" s="4" t="s">
        <v>535</v>
      </c>
      <c r="N53" s="4" t="s">
        <v>536</v>
      </c>
      <c r="O53" s="4" t="s">
        <v>641</v>
      </c>
      <c r="P53" s="4" t="s">
        <v>652</v>
      </c>
      <c r="Q53" s="4" t="s">
        <v>57</v>
      </c>
      <c r="R53" s="4"/>
      <c r="S53" s="4" t="s">
        <v>57</v>
      </c>
      <c r="T53" s="4"/>
      <c r="U53" s="4"/>
      <c r="V53" s="4" t="s">
        <v>57</v>
      </c>
      <c r="W53" s="4" t="s">
        <v>254</v>
      </c>
      <c r="X53" s="4" t="s">
        <v>16</v>
      </c>
      <c r="Y53" s="4" t="s">
        <v>59</v>
      </c>
      <c r="Z53" s="5" t="s">
        <v>255</v>
      </c>
    </row>
    <row r="54" spans="1:26" ht="51.95" customHeight="1">
      <c r="A54" s="39" t="s">
        <v>57</v>
      </c>
      <c r="B54" s="9" t="s">
        <v>256</v>
      </c>
      <c r="C54" s="4" t="s">
        <v>26</v>
      </c>
      <c r="D54" s="4" t="s">
        <v>257</v>
      </c>
      <c r="E54" s="4" t="s">
        <v>24</v>
      </c>
      <c r="F54" s="4" t="s">
        <v>63</v>
      </c>
      <c r="G54" s="4" t="s">
        <v>56</v>
      </c>
      <c r="H54" s="4" t="s">
        <v>25</v>
      </c>
      <c r="I54" s="4" t="s">
        <v>582</v>
      </c>
      <c r="J54" s="4" t="s">
        <v>609</v>
      </c>
      <c r="K54" s="4" t="s">
        <v>380</v>
      </c>
      <c r="L54" s="4" t="s">
        <v>432</v>
      </c>
      <c r="M54" s="4" t="s">
        <v>537</v>
      </c>
      <c r="N54" s="4" t="s">
        <v>538</v>
      </c>
      <c r="O54" s="4" t="s">
        <v>622</v>
      </c>
      <c r="P54" s="4" t="s">
        <v>659</v>
      </c>
      <c r="Q54" s="4" t="s">
        <v>57</v>
      </c>
      <c r="R54" s="4"/>
      <c r="S54" s="4" t="s">
        <v>57</v>
      </c>
      <c r="T54" s="4"/>
      <c r="U54" s="4"/>
      <c r="V54" s="4" t="s">
        <v>57</v>
      </c>
      <c r="W54" s="4" t="s">
        <v>258</v>
      </c>
      <c r="X54" s="4" t="s">
        <v>16</v>
      </c>
      <c r="Y54" s="4" t="s">
        <v>59</v>
      </c>
      <c r="Z54" s="5" t="s">
        <v>259</v>
      </c>
    </row>
    <row r="55" spans="1:26" ht="51.95" customHeight="1">
      <c r="A55" s="39" t="s">
        <v>57</v>
      </c>
      <c r="B55" s="9" t="s">
        <v>260</v>
      </c>
      <c r="C55" s="4" t="s">
        <v>26</v>
      </c>
      <c r="D55" s="4" t="s">
        <v>261</v>
      </c>
      <c r="E55" s="4" t="s">
        <v>24</v>
      </c>
      <c r="F55" s="4" t="s">
        <v>55</v>
      </c>
      <c r="G55" s="4" t="s">
        <v>56</v>
      </c>
      <c r="H55" s="4" t="s">
        <v>28</v>
      </c>
      <c r="I55" s="4" t="s">
        <v>609</v>
      </c>
      <c r="J55" s="4"/>
      <c r="K55" s="4" t="s">
        <v>381</v>
      </c>
      <c r="L55" s="4" t="s">
        <v>420</v>
      </c>
      <c r="M55" s="4" t="s">
        <v>539</v>
      </c>
      <c r="N55" s="4" t="s">
        <v>540</v>
      </c>
      <c r="O55" s="4" t="s">
        <v>648</v>
      </c>
      <c r="P55" s="4" t="s">
        <v>660</v>
      </c>
      <c r="Q55" s="4" t="s">
        <v>57</v>
      </c>
      <c r="R55" s="4"/>
      <c r="S55" s="4" t="s">
        <v>57</v>
      </c>
      <c r="T55" s="4"/>
      <c r="U55" s="4"/>
      <c r="V55" s="4" t="s">
        <v>57</v>
      </c>
      <c r="W55" s="4" t="s">
        <v>262</v>
      </c>
      <c r="X55" s="4" t="s">
        <v>16</v>
      </c>
      <c r="Y55" s="4" t="s">
        <v>59</v>
      </c>
      <c r="Z55" s="5" t="s">
        <v>263</v>
      </c>
    </row>
    <row r="56" spans="1:26" ht="51.95" customHeight="1">
      <c r="A56" s="39" t="s">
        <v>57</v>
      </c>
      <c r="B56" s="9" t="s">
        <v>264</v>
      </c>
      <c r="C56" s="4" t="s">
        <v>26</v>
      </c>
      <c r="D56" s="4" t="s">
        <v>265</v>
      </c>
      <c r="E56" s="4" t="s">
        <v>24</v>
      </c>
      <c r="F56" s="4" t="s">
        <v>63</v>
      </c>
      <c r="G56" s="4" t="s">
        <v>56</v>
      </c>
      <c r="H56" s="4" t="s">
        <v>28</v>
      </c>
      <c r="I56" s="4" t="s">
        <v>567</v>
      </c>
      <c r="J56" s="4" t="s">
        <v>619</v>
      </c>
      <c r="K56" s="4" t="s">
        <v>382</v>
      </c>
      <c r="L56" s="4" t="s">
        <v>424</v>
      </c>
      <c r="M56" s="4" t="s">
        <v>541</v>
      </c>
      <c r="N56" s="4" t="s">
        <v>542</v>
      </c>
      <c r="O56" s="4" t="s">
        <v>629</v>
      </c>
      <c r="P56" s="4" t="s">
        <v>628</v>
      </c>
      <c r="Q56" s="4" t="s">
        <v>57</v>
      </c>
      <c r="R56" s="4"/>
      <c r="S56" s="4" t="s">
        <v>57</v>
      </c>
      <c r="T56" s="4"/>
      <c r="U56" s="4"/>
      <c r="V56" s="4" t="s">
        <v>57</v>
      </c>
      <c r="W56" s="4" t="s">
        <v>266</v>
      </c>
      <c r="X56" s="4" t="s">
        <v>16</v>
      </c>
      <c r="Y56" s="4" t="s">
        <v>59</v>
      </c>
      <c r="Z56" s="5" t="s">
        <v>267</v>
      </c>
    </row>
    <row r="57" spans="1:26" ht="51.95" customHeight="1">
      <c r="A57" s="39" t="s">
        <v>57</v>
      </c>
      <c r="B57" s="9" t="s">
        <v>268</v>
      </c>
      <c r="C57" s="4" t="s">
        <v>26</v>
      </c>
      <c r="D57" s="4" t="s">
        <v>269</v>
      </c>
      <c r="E57" s="4" t="s">
        <v>27</v>
      </c>
      <c r="F57" s="4" t="s">
        <v>63</v>
      </c>
      <c r="G57" s="4" t="s">
        <v>56</v>
      </c>
      <c r="H57" s="4" t="s">
        <v>30</v>
      </c>
      <c r="I57" s="4" t="s">
        <v>609</v>
      </c>
      <c r="J57" s="4"/>
      <c r="K57" s="4" t="s">
        <v>383</v>
      </c>
      <c r="L57" s="4" t="s">
        <v>396</v>
      </c>
      <c r="M57" s="4" t="s">
        <v>543</v>
      </c>
      <c r="N57" s="4" t="s">
        <v>544</v>
      </c>
      <c r="O57" s="4" t="s">
        <v>652</v>
      </c>
      <c r="P57" s="4" t="s">
        <v>654</v>
      </c>
      <c r="Q57" s="4" t="s">
        <v>57</v>
      </c>
      <c r="R57" s="4"/>
      <c r="S57" s="4" t="s">
        <v>57</v>
      </c>
      <c r="T57" s="4"/>
      <c r="U57" s="4"/>
      <c r="V57" s="4" t="s">
        <v>57</v>
      </c>
      <c r="W57" s="4" t="s">
        <v>270</v>
      </c>
      <c r="X57" s="4" t="s">
        <v>16</v>
      </c>
      <c r="Y57" s="4" t="s">
        <v>59</v>
      </c>
      <c r="Z57" s="5" t="s">
        <v>271</v>
      </c>
    </row>
    <row r="58" spans="1:26" ht="51.95" customHeight="1">
      <c r="A58" s="39" t="s">
        <v>57</v>
      </c>
      <c r="B58" s="9" t="s">
        <v>272</v>
      </c>
      <c r="C58" s="4" t="s">
        <v>26</v>
      </c>
      <c r="D58" s="4" t="s">
        <v>273</v>
      </c>
      <c r="E58" s="4" t="s">
        <v>24</v>
      </c>
      <c r="F58" s="4" t="s">
        <v>63</v>
      </c>
      <c r="G58" s="4" t="s">
        <v>56</v>
      </c>
      <c r="H58" s="4" t="s">
        <v>25</v>
      </c>
      <c r="I58" s="4" t="s">
        <v>597</v>
      </c>
      <c r="J58" s="4" t="s">
        <v>555</v>
      </c>
      <c r="K58" s="4" t="s">
        <v>384</v>
      </c>
      <c r="L58" s="4" t="s">
        <v>428</v>
      </c>
      <c r="M58" s="4" t="s">
        <v>545</v>
      </c>
      <c r="N58" s="4" t="s">
        <v>546</v>
      </c>
      <c r="O58" s="4" t="s">
        <v>641</v>
      </c>
      <c r="P58" s="4" t="s">
        <v>661</v>
      </c>
      <c r="Q58" s="4" t="s">
        <v>57</v>
      </c>
      <c r="R58" s="4"/>
      <c r="S58" s="4" t="s">
        <v>57</v>
      </c>
      <c r="T58" s="4"/>
      <c r="U58" s="4"/>
      <c r="V58" s="4" t="s">
        <v>57</v>
      </c>
      <c r="W58" s="4" t="s">
        <v>274</v>
      </c>
      <c r="X58" s="4" t="s">
        <v>16</v>
      </c>
      <c r="Y58" s="4" t="s">
        <v>59</v>
      </c>
      <c r="Z58" s="5" t="s">
        <v>275</v>
      </c>
    </row>
    <row r="59" spans="1:26" ht="51.95" customHeight="1">
      <c r="A59" s="39" t="s">
        <v>57</v>
      </c>
      <c r="B59" s="9" t="s">
        <v>276</v>
      </c>
      <c r="C59" s="4" t="s">
        <v>26</v>
      </c>
      <c r="D59" s="4" t="s">
        <v>277</v>
      </c>
      <c r="E59" s="4" t="s">
        <v>24</v>
      </c>
      <c r="F59" s="4" t="s">
        <v>63</v>
      </c>
      <c r="G59" s="4" t="s">
        <v>56</v>
      </c>
      <c r="H59" s="4" t="s">
        <v>28</v>
      </c>
      <c r="I59" s="4" t="s">
        <v>570</v>
      </c>
      <c r="J59" s="4" t="s">
        <v>597</v>
      </c>
      <c r="K59" s="4" t="s">
        <v>385</v>
      </c>
      <c r="L59" s="4" t="s">
        <v>436</v>
      </c>
      <c r="M59" s="4" t="s">
        <v>547</v>
      </c>
      <c r="N59" s="4" t="s">
        <v>548</v>
      </c>
      <c r="O59" s="4" t="s">
        <v>620</v>
      </c>
      <c r="P59" s="4" t="s">
        <v>662</v>
      </c>
      <c r="Q59" s="4" t="s">
        <v>57</v>
      </c>
      <c r="R59" s="4"/>
      <c r="S59" s="4" t="s">
        <v>57</v>
      </c>
      <c r="T59" s="4"/>
      <c r="U59" s="4"/>
      <c r="V59" s="4" t="s">
        <v>57</v>
      </c>
      <c r="W59" s="4" t="s">
        <v>278</v>
      </c>
      <c r="X59" s="4" t="s">
        <v>16</v>
      </c>
      <c r="Y59" s="4" t="s">
        <v>59</v>
      </c>
      <c r="Z59" s="5" t="s">
        <v>279</v>
      </c>
    </row>
    <row r="60" spans="1:26" ht="51.95" customHeight="1">
      <c r="A60" s="39" t="s">
        <v>57</v>
      </c>
      <c r="B60" s="10" t="s">
        <v>280</v>
      </c>
      <c r="C60" s="6" t="s">
        <v>26</v>
      </c>
      <c r="D60" s="6" t="s">
        <v>281</v>
      </c>
      <c r="E60" s="6" t="s">
        <v>24</v>
      </c>
      <c r="F60" s="6" t="s">
        <v>63</v>
      </c>
      <c r="G60" s="6" t="s">
        <v>56</v>
      </c>
      <c r="H60" s="6" t="s">
        <v>28</v>
      </c>
      <c r="I60" s="6" t="s">
        <v>591</v>
      </c>
      <c r="J60" s="6"/>
      <c r="K60" s="6" t="s">
        <v>386</v>
      </c>
      <c r="L60" s="6" t="s">
        <v>404</v>
      </c>
      <c r="M60" s="6" t="s">
        <v>549</v>
      </c>
      <c r="N60" s="6" t="s">
        <v>508</v>
      </c>
      <c r="O60" s="6" t="s">
        <v>628</v>
      </c>
      <c r="P60" s="6"/>
      <c r="Q60" s="6" t="s">
        <v>57</v>
      </c>
      <c r="R60" s="6"/>
      <c r="S60" s="6" t="s">
        <v>57</v>
      </c>
      <c r="T60" s="6"/>
      <c r="U60" s="6"/>
      <c r="V60" s="6" t="s">
        <v>57</v>
      </c>
      <c r="W60" s="6" t="s">
        <v>282</v>
      </c>
      <c r="X60" s="6" t="s">
        <v>16</v>
      </c>
      <c r="Y60" s="6" t="s">
        <v>59</v>
      </c>
      <c r="Z60" s="7" t="s">
        <v>283</v>
      </c>
    </row>
  </sheetData>
  <mergeCells count="2">
    <mergeCell ref="B1:Z1"/>
    <mergeCell ref="B2:Z2"/>
  </mergeCells>
  <conditionalFormatting sqref="A5:Z27 A28:N28 Q28:Z29 A29:O29 A30:Z33 A34:O34 Q34:Z34 A35:Z60">
    <cfRule type="expression" dxfId="4" priority="3">
      <formula>$E5="Must"</formula>
    </cfRule>
  </conditionalFormatting>
  <conditionalFormatting sqref="O28:P28">
    <cfRule type="expression" dxfId="3" priority="2">
      <formula>$E28="Must"</formula>
    </cfRule>
  </conditionalFormatting>
  <conditionalFormatting sqref="P29">
    <cfRule type="expression" dxfId="2" priority="8">
      <formula>$E28="Must"</formula>
    </cfRule>
  </conditionalFormatting>
  <conditionalFormatting sqref="P34">
    <cfRule type="expression" dxfId="1" priority="1">
      <formula>$E34="Must"</formula>
    </cfRule>
  </conditionalFormatting>
  <conditionalFormatting sqref="X5:X60">
    <cfRule type="containsText" dxfId="0" priority="6" operator="containsText" text="Pending"/>
  </conditionalFormatting>
  <dataValidations count="1">
    <dataValidation type="list" sqref="B5:B60" xr:uid="{00000000-0002-0000-0100-000000000000}">
      <formula1>_xlfn._LONGTEXT("BR-001,BR-002,BR-003,BR-004,BR-005,BR-006,BR-007,BR-008,BR-009,BR-010,BR-011,BR-012,BR-013,BR-014,BR-015,BR-016,BR-017,BR-018,BR-019,BR-020,BR-021,BR-022,BR-023,BR-024,BR-025,BR-026,BR-027,BR-028,BR-029,BR-030,BR-031,BR-032,BR-033,BR-034,BR-035,BR-036,BR-","037,BR-038,NFR-001,NFR-002,NFR-003,NFR-004,NFR-005,NFR-006,NFR-007,NFR-008,NFR-009,NFR-010,NFR-011,NFR-012,NFR-013,NFR-014,NFR-015,NFR-016,NFR-017,NFR-018")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0"/>
  <sheetViews>
    <sheetView showGridLines="0" workbookViewId="0">
      <selection activeCell="A20" sqref="A20:D20"/>
    </sheetView>
  </sheetViews>
  <sheetFormatPr defaultRowHeight="14.25"/>
  <cols>
    <col min="1" max="1" width="16" customWidth="1"/>
    <col min="2" max="2" width="27" customWidth="1"/>
    <col min="3" max="3" width="48" customWidth="1"/>
    <col min="4" max="4" width="50" customWidth="1"/>
  </cols>
  <sheetData>
    <row r="1" spans="1:4" ht="27.95" customHeight="1">
      <c r="A1" s="46" t="s">
        <v>284</v>
      </c>
      <c r="B1" s="46"/>
      <c r="C1" s="46"/>
      <c r="D1" s="46"/>
    </row>
    <row r="2" spans="1:4" ht="21" customHeight="1">
      <c r="A2" s="47" t="s">
        <v>285</v>
      </c>
      <c r="B2" s="47"/>
      <c r="C2" s="47"/>
      <c r="D2" s="47"/>
    </row>
    <row r="4" spans="1:4" ht="15">
      <c r="A4" s="11" t="s">
        <v>286</v>
      </c>
      <c r="B4" s="11" t="s">
        <v>287</v>
      </c>
      <c r="C4" s="11" t="s">
        <v>288</v>
      </c>
      <c r="D4" s="11" t="s">
        <v>289</v>
      </c>
    </row>
    <row r="5" spans="1:4" ht="38.1" customHeight="1">
      <c r="A5" s="18" t="s">
        <v>39</v>
      </c>
      <c r="B5" s="12" t="s">
        <v>290</v>
      </c>
      <c r="C5" s="12" t="s">
        <v>291</v>
      </c>
      <c r="D5" s="13" t="s">
        <v>292</v>
      </c>
    </row>
    <row r="6" spans="1:4" ht="38.1" customHeight="1">
      <c r="A6" s="19" t="s">
        <v>40</v>
      </c>
      <c r="B6" s="14" t="s">
        <v>293</v>
      </c>
      <c r="C6" s="14" t="s">
        <v>294</v>
      </c>
      <c r="D6" s="15" t="s">
        <v>295</v>
      </c>
    </row>
    <row r="7" spans="1:4" ht="38.1" customHeight="1">
      <c r="A7" s="19" t="s">
        <v>41</v>
      </c>
      <c r="B7" s="14" t="s">
        <v>296</v>
      </c>
      <c r="C7" s="14" t="s">
        <v>297</v>
      </c>
      <c r="D7" s="15" t="s">
        <v>298</v>
      </c>
    </row>
    <row r="8" spans="1:4" ht="38.1" customHeight="1">
      <c r="A8" s="19" t="s">
        <v>42</v>
      </c>
      <c r="B8" s="14" t="s">
        <v>299</v>
      </c>
      <c r="C8" s="14" t="s">
        <v>300</v>
      </c>
      <c r="D8" s="15" t="s">
        <v>301</v>
      </c>
    </row>
    <row r="9" spans="1:4" ht="38.1" customHeight="1">
      <c r="A9" s="19" t="s">
        <v>43</v>
      </c>
      <c r="B9" s="14" t="s">
        <v>302</v>
      </c>
      <c r="C9" s="14" t="s">
        <v>303</v>
      </c>
      <c r="D9" s="15" t="s">
        <v>304</v>
      </c>
    </row>
    <row r="10" spans="1:4" ht="38.1" customHeight="1">
      <c r="A10" s="19" t="s">
        <v>44</v>
      </c>
      <c r="B10" s="14" t="s">
        <v>44</v>
      </c>
      <c r="C10" s="14" t="s">
        <v>305</v>
      </c>
      <c r="D10" s="15" t="s">
        <v>306</v>
      </c>
    </row>
    <row r="11" spans="1:4" ht="38.1" customHeight="1">
      <c r="A11" s="19" t="s">
        <v>45</v>
      </c>
      <c r="B11" s="14" t="s">
        <v>307</v>
      </c>
      <c r="C11" s="14" t="s">
        <v>308</v>
      </c>
      <c r="D11" s="15" t="s">
        <v>309</v>
      </c>
    </row>
    <row r="12" spans="1:4" ht="38.1" customHeight="1">
      <c r="A12" s="19" t="s">
        <v>46</v>
      </c>
      <c r="B12" s="14" t="s">
        <v>310</v>
      </c>
      <c r="C12" s="14" t="s">
        <v>311</v>
      </c>
      <c r="D12" s="15" t="s">
        <v>312</v>
      </c>
    </row>
    <row r="13" spans="1:4" ht="38.1" customHeight="1">
      <c r="A13" s="19" t="s">
        <v>47</v>
      </c>
      <c r="B13" s="14" t="s">
        <v>313</v>
      </c>
      <c r="C13" s="14" t="s">
        <v>314</v>
      </c>
      <c r="D13" s="15" t="s">
        <v>315</v>
      </c>
    </row>
    <row r="14" spans="1:4" ht="38.1" customHeight="1">
      <c r="A14" s="19" t="s">
        <v>48</v>
      </c>
      <c r="B14" s="14" t="s">
        <v>316</v>
      </c>
      <c r="C14" s="14" t="s">
        <v>317</v>
      </c>
      <c r="D14" s="15" t="s">
        <v>318</v>
      </c>
    </row>
    <row r="15" spans="1:4" ht="38.1" customHeight="1">
      <c r="A15" s="19" t="s">
        <v>50</v>
      </c>
      <c r="B15" s="14" t="s">
        <v>319</v>
      </c>
      <c r="C15" s="14" t="s">
        <v>320</v>
      </c>
      <c r="D15" s="15" t="s">
        <v>321</v>
      </c>
    </row>
    <row r="16" spans="1:4" ht="38.1" customHeight="1">
      <c r="A16" s="19" t="s">
        <v>51</v>
      </c>
      <c r="B16" s="14" t="s">
        <v>322</v>
      </c>
      <c r="C16" s="14" t="s">
        <v>323</v>
      </c>
      <c r="D16" s="15" t="s">
        <v>324</v>
      </c>
    </row>
    <row r="17" spans="1:4" ht="38.1" customHeight="1">
      <c r="A17" s="19" t="s">
        <v>37</v>
      </c>
      <c r="B17" s="14" t="s">
        <v>325</v>
      </c>
      <c r="C17" s="14" t="s">
        <v>326</v>
      </c>
      <c r="D17" s="15" t="s">
        <v>327</v>
      </c>
    </row>
    <row r="18" spans="1:4" ht="38.1" customHeight="1">
      <c r="A18" s="20" t="s">
        <v>38</v>
      </c>
      <c r="B18" s="16" t="s">
        <v>328</v>
      </c>
      <c r="C18" s="16" t="s">
        <v>329</v>
      </c>
      <c r="D18" s="17" t="s">
        <v>327</v>
      </c>
    </row>
    <row r="20" spans="1:4" ht="42" customHeight="1">
      <c r="A20" s="48" t="s">
        <v>330</v>
      </c>
      <c r="B20" s="49"/>
      <c r="C20" s="49"/>
      <c r="D20" s="50"/>
    </row>
  </sheetData>
  <mergeCells count="3">
    <mergeCell ref="A1:D1"/>
    <mergeCell ref="A2:D2"/>
    <mergeCell ref="A20:D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B1DBE-C4F7-4329-8F3C-A2139FB742EE}">
  <dimension ref="A1:D13"/>
  <sheetViews>
    <sheetView workbookViewId="0">
      <selection activeCell="C18" sqref="C18"/>
    </sheetView>
  </sheetViews>
  <sheetFormatPr defaultColWidth="55.875" defaultRowHeight="14.25"/>
  <cols>
    <col min="1" max="1" width="8" customWidth="1"/>
    <col min="2" max="2" width="30.625" customWidth="1"/>
    <col min="3" max="3" width="53.5" customWidth="1"/>
    <col min="4" max="4" width="51" customWidth="1"/>
  </cols>
  <sheetData>
    <row r="1" spans="1:4" ht="15">
      <c r="A1" s="40" t="s">
        <v>388</v>
      </c>
      <c r="B1" s="40" t="s">
        <v>389</v>
      </c>
      <c r="C1" s="40" t="s">
        <v>390</v>
      </c>
      <c r="D1" s="40" t="s">
        <v>391</v>
      </c>
    </row>
    <row r="2" spans="1:4" ht="28.5">
      <c r="A2" s="42" t="s">
        <v>392</v>
      </c>
      <c r="B2" s="42" t="s">
        <v>393</v>
      </c>
      <c r="C2" s="41" t="s">
        <v>394</v>
      </c>
      <c r="D2" s="41" t="s">
        <v>395</v>
      </c>
    </row>
    <row r="3" spans="1:4" ht="28.5">
      <c r="A3" s="42" t="s">
        <v>396</v>
      </c>
      <c r="B3" s="42" t="s">
        <v>397</v>
      </c>
      <c r="C3" s="41" t="s">
        <v>398</v>
      </c>
      <c r="D3" s="41" t="s">
        <v>399</v>
      </c>
    </row>
    <row r="4" spans="1:4" ht="28.5">
      <c r="A4" s="42" t="s">
        <v>400</v>
      </c>
      <c r="B4" s="42" t="s">
        <v>401</v>
      </c>
      <c r="C4" s="41" t="s">
        <v>402</v>
      </c>
      <c r="D4" s="41" t="s">
        <v>403</v>
      </c>
    </row>
    <row r="5" spans="1:4" ht="15">
      <c r="A5" s="42" t="s">
        <v>404</v>
      </c>
      <c r="B5" s="42" t="s">
        <v>405</v>
      </c>
      <c r="C5" s="41" t="s">
        <v>406</v>
      </c>
      <c r="D5" s="41" t="s">
        <v>407</v>
      </c>
    </row>
    <row r="6" spans="1:4" ht="28.5">
      <c r="A6" s="42" t="s">
        <v>408</v>
      </c>
      <c r="B6" s="42" t="s">
        <v>409</v>
      </c>
      <c r="C6" s="41" t="s">
        <v>410</v>
      </c>
      <c r="D6" s="41" t="s">
        <v>411</v>
      </c>
    </row>
    <row r="7" spans="1:4" ht="15">
      <c r="A7" s="42" t="s">
        <v>412</v>
      </c>
      <c r="B7" s="42" t="s">
        <v>413</v>
      </c>
      <c r="C7" s="41" t="s">
        <v>414</v>
      </c>
      <c r="D7" s="41" t="s">
        <v>415</v>
      </c>
    </row>
    <row r="8" spans="1:4" ht="15">
      <c r="A8" s="42" t="s">
        <v>416</v>
      </c>
      <c r="B8" s="42" t="s">
        <v>417</v>
      </c>
      <c r="C8" s="41" t="s">
        <v>418</v>
      </c>
      <c r="D8" s="41" t="s">
        <v>419</v>
      </c>
    </row>
    <row r="9" spans="1:4" ht="28.5">
      <c r="A9" s="42" t="s">
        <v>420</v>
      </c>
      <c r="B9" s="42" t="s">
        <v>421</v>
      </c>
      <c r="C9" s="41" t="s">
        <v>422</v>
      </c>
      <c r="D9" s="41" t="s">
        <v>423</v>
      </c>
    </row>
    <row r="10" spans="1:4" ht="15">
      <c r="A10" s="42" t="s">
        <v>424</v>
      </c>
      <c r="B10" s="42" t="s">
        <v>425</v>
      </c>
      <c r="C10" s="41" t="s">
        <v>426</v>
      </c>
      <c r="D10" s="41" t="s">
        <v>427</v>
      </c>
    </row>
    <row r="11" spans="1:4" ht="30">
      <c r="A11" s="42" t="s">
        <v>428</v>
      </c>
      <c r="B11" s="42" t="s">
        <v>429</v>
      </c>
      <c r="C11" s="41" t="s">
        <v>430</v>
      </c>
      <c r="D11" s="41" t="s">
        <v>431</v>
      </c>
    </row>
    <row r="12" spans="1:4" ht="28.5">
      <c r="A12" s="42" t="s">
        <v>432</v>
      </c>
      <c r="B12" s="42" t="s">
        <v>433</v>
      </c>
      <c r="C12" s="41" t="s">
        <v>434</v>
      </c>
      <c r="D12" s="41" t="s">
        <v>435</v>
      </c>
    </row>
    <row r="13" spans="1:4" ht="30">
      <c r="A13" s="42" t="s">
        <v>436</v>
      </c>
      <c r="B13" s="42" t="s">
        <v>437</v>
      </c>
      <c r="C13" s="41" t="s">
        <v>438</v>
      </c>
      <c r="D13" s="41" t="s">
        <v>439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C412-025F-4E3C-9071-5C08A9EB58CA}">
  <dimension ref="A1:D20"/>
  <sheetViews>
    <sheetView workbookViewId="0">
      <selection activeCell="B4" sqref="B4"/>
    </sheetView>
  </sheetViews>
  <sheetFormatPr defaultColWidth="66.875" defaultRowHeight="14.25"/>
  <cols>
    <col min="1" max="1" width="11.875" bestFit="1" customWidth="1"/>
    <col min="2" max="2" width="33.625" style="43" customWidth="1"/>
    <col min="3" max="3" width="84.25" style="43" customWidth="1"/>
    <col min="4" max="4" width="33.625" bestFit="1" customWidth="1"/>
  </cols>
  <sheetData>
    <row r="1" spans="1:4" ht="15">
      <c r="A1" s="44" t="s">
        <v>550</v>
      </c>
      <c r="B1" s="45" t="s">
        <v>296</v>
      </c>
      <c r="C1" s="45" t="s">
        <v>551</v>
      </c>
      <c r="D1" s="44" t="s">
        <v>389</v>
      </c>
    </row>
    <row r="2" spans="1:4">
      <c r="A2" t="s">
        <v>552</v>
      </c>
      <c r="B2" s="43" t="s">
        <v>553</v>
      </c>
      <c r="C2" s="43" t="s">
        <v>554</v>
      </c>
      <c r="D2" t="s">
        <v>401</v>
      </c>
    </row>
    <row r="3" spans="1:4" ht="28.5">
      <c r="A3" t="s">
        <v>555</v>
      </c>
      <c r="B3" s="43" t="s">
        <v>556</v>
      </c>
      <c r="C3" s="43" t="s">
        <v>557</v>
      </c>
      <c r="D3" t="s">
        <v>429</v>
      </c>
    </row>
    <row r="4" spans="1:4" ht="28.5">
      <c r="A4" t="s">
        <v>558</v>
      </c>
      <c r="B4" s="43" t="s">
        <v>559</v>
      </c>
      <c r="C4" s="43" t="s">
        <v>560</v>
      </c>
      <c r="D4" t="s">
        <v>409</v>
      </c>
    </row>
    <row r="5" spans="1:4" ht="28.5">
      <c r="A5" t="s">
        <v>561</v>
      </c>
      <c r="B5" s="43" t="s">
        <v>562</v>
      </c>
      <c r="C5" s="43" t="s">
        <v>563</v>
      </c>
      <c r="D5" t="s">
        <v>413</v>
      </c>
    </row>
    <row r="6" spans="1:4">
      <c r="A6" t="s">
        <v>564</v>
      </c>
      <c r="B6" s="43" t="s">
        <v>565</v>
      </c>
      <c r="C6" s="43" t="s">
        <v>566</v>
      </c>
      <c r="D6" t="s">
        <v>425</v>
      </c>
    </row>
    <row r="7" spans="1:4" ht="28.5">
      <c r="A7" t="s">
        <v>567</v>
      </c>
      <c r="B7" s="43" t="s">
        <v>568</v>
      </c>
      <c r="C7" s="43" t="s">
        <v>569</v>
      </c>
      <c r="D7" t="s">
        <v>425</v>
      </c>
    </row>
    <row r="8" spans="1:4" ht="28.5">
      <c r="A8" t="s">
        <v>570</v>
      </c>
      <c r="B8" s="43" t="s">
        <v>571</v>
      </c>
      <c r="C8" s="43" t="s">
        <v>572</v>
      </c>
      <c r="D8" t="s">
        <v>417</v>
      </c>
    </row>
    <row r="9" spans="1:4">
      <c r="A9" t="s">
        <v>573</v>
      </c>
      <c r="B9" s="43" t="s">
        <v>574</v>
      </c>
      <c r="C9" s="43" t="s">
        <v>575</v>
      </c>
      <c r="D9" t="s">
        <v>393</v>
      </c>
    </row>
    <row r="10" spans="1:4" ht="28.5">
      <c r="A10" t="s">
        <v>576</v>
      </c>
      <c r="B10" s="43" t="s">
        <v>577</v>
      </c>
      <c r="C10" s="43" t="s">
        <v>578</v>
      </c>
      <c r="D10" t="s">
        <v>393</v>
      </c>
    </row>
    <row r="11" spans="1:4">
      <c r="A11" t="s">
        <v>579</v>
      </c>
      <c r="B11" s="43" t="s">
        <v>580</v>
      </c>
      <c r="C11" s="43" t="s">
        <v>581</v>
      </c>
      <c r="D11" t="s">
        <v>409</v>
      </c>
    </row>
    <row r="12" spans="1:4">
      <c r="A12" t="s">
        <v>582</v>
      </c>
      <c r="B12" s="43" t="s">
        <v>583</v>
      </c>
      <c r="C12" s="43" t="s">
        <v>584</v>
      </c>
      <c r="D12" t="s">
        <v>433</v>
      </c>
    </row>
    <row r="13" spans="1:4" ht="28.5">
      <c r="A13" t="s">
        <v>585</v>
      </c>
      <c r="B13" s="43" t="s">
        <v>586</v>
      </c>
      <c r="C13" s="43" t="s">
        <v>587</v>
      </c>
      <c r="D13" t="s">
        <v>429</v>
      </c>
    </row>
    <row r="14" spans="1:4" ht="28.5">
      <c r="A14" t="s">
        <v>588</v>
      </c>
      <c r="B14" s="43" t="s">
        <v>589</v>
      </c>
      <c r="C14" s="43" t="s">
        <v>590</v>
      </c>
      <c r="D14" t="s">
        <v>429</v>
      </c>
    </row>
    <row r="15" spans="1:4" ht="28.5">
      <c r="A15" t="s">
        <v>591</v>
      </c>
      <c r="B15" s="43" t="s">
        <v>592</v>
      </c>
      <c r="C15" s="43" t="s">
        <v>593</v>
      </c>
      <c r="D15" t="s">
        <v>405</v>
      </c>
    </row>
    <row r="16" spans="1:4" ht="28.5">
      <c r="A16" t="s">
        <v>594</v>
      </c>
      <c r="B16" s="43" t="s">
        <v>595</v>
      </c>
      <c r="C16" s="43" t="s">
        <v>596</v>
      </c>
      <c r="D16" t="s">
        <v>397</v>
      </c>
    </row>
    <row r="17" spans="1:4" ht="28.5">
      <c r="A17" t="s">
        <v>597</v>
      </c>
      <c r="B17" s="43" t="s">
        <v>598</v>
      </c>
      <c r="C17" s="43" t="s">
        <v>599</v>
      </c>
      <c r="D17" t="s">
        <v>429</v>
      </c>
    </row>
    <row r="18" spans="1:4" ht="28.5">
      <c r="A18" t="s">
        <v>600</v>
      </c>
      <c r="B18" s="43" t="s">
        <v>601</v>
      </c>
      <c r="C18" s="43" t="s">
        <v>602</v>
      </c>
      <c r="D18" t="s">
        <v>421</v>
      </c>
    </row>
    <row r="19" spans="1:4" ht="28.5">
      <c r="A19" t="s">
        <v>603</v>
      </c>
      <c r="B19" s="43" t="s">
        <v>604</v>
      </c>
      <c r="C19" s="43" t="s">
        <v>605</v>
      </c>
      <c r="D19" t="s">
        <v>429</v>
      </c>
    </row>
    <row r="20" spans="1:4" ht="28.5">
      <c r="A20" t="s">
        <v>606</v>
      </c>
      <c r="B20" s="43" t="s">
        <v>607</v>
      </c>
      <c r="C20" s="43" t="s">
        <v>608</v>
      </c>
      <c r="D20" t="s">
        <v>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RTM</vt:lpstr>
      <vt:lpstr>Legend &amp; Reference</vt:lpstr>
      <vt:lpstr>Architecture Domains</vt:lpstr>
      <vt:lpstr>Capabilities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Jordan Hutchison</dc:creator>
  <cp:lastModifiedBy>Jordan Hutchison</cp:lastModifiedBy>
  <dcterms:created xsi:type="dcterms:W3CDTF">2026-08-13T10:44:00Z</dcterms:created>
  <dcterms:modified xsi:type="dcterms:W3CDTF">2026-09-24T20:06:47Z</dcterms:modified>
</cp:coreProperties>
</file>